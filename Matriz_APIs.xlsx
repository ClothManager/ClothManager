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bayro\Documents\6 SEMESTRE\WEB SERVICE\CORTE II\"/>
    </mc:Choice>
  </mc:AlternateContent>
  <xr:revisionPtr revIDLastSave="0" documentId="13_ncr:1_{D6F041B4-CF56-45C8-A375-767077D9345B}" xr6:coauthVersionLast="47" xr6:coauthVersionMax="47" xr10:uidLastSave="{00000000-0000-0000-0000-000000000000}"/>
  <bookViews>
    <workbookView xWindow="-108" yWindow="-108" windowWidth="23256" windowHeight="12456" tabRatio="500" firstSheet="1" activeTab="1" xr2:uid="{00000000-000D-0000-FFFF-FFFF00000000}"/>
  </bookViews>
  <sheets>
    <sheet name="Resumen" sheetId="1" state="hidden" r:id="rId1"/>
    <sheet name="Inventario APIs" sheetId="2" r:id="rId2"/>
    <sheet name="Matriz Componentes" sheetId="3" state="hidden" r:id="rId3"/>
    <sheet name="Estructura JSON" sheetId="4" state="hidden" r:id="rId4"/>
  </sheets>
  <definedNames>
    <definedName name="_xlnm._FilterDatabase" localSheetId="1" hidden="1">'Inventario APIs'!$A$4:$H$112</definedName>
    <definedName name="_xlnm._FilterDatabase" localSheetId="2" hidden="1">'Matriz Componentes'!$A$4:$I$135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112" i="2" l="1"/>
  <c r="H111" i="2"/>
  <c r="H110" i="2"/>
  <c r="H109" i="2"/>
  <c r="H108" i="2"/>
  <c r="H107" i="2"/>
  <c r="H106" i="2"/>
  <c r="H105" i="2"/>
  <c r="H104" i="2"/>
  <c r="H103" i="2"/>
  <c r="H102" i="2"/>
  <c r="H101" i="2"/>
  <c r="H100" i="2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B29" i="1"/>
  <c r="B28" i="1"/>
  <c r="B27" i="1"/>
  <c r="B26" i="1"/>
  <c r="B25" i="1"/>
  <c r="B24" i="1"/>
  <c r="B23" i="1"/>
  <c r="B22" i="1"/>
  <c r="B21" i="1"/>
  <c r="B20" i="1"/>
  <c r="B19" i="1"/>
  <c r="B18" i="1"/>
  <c r="B14" i="1"/>
  <c r="B13" i="1"/>
  <c r="B12" i="1"/>
  <c r="B11" i="1"/>
  <c r="B10" i="1"/>
  <c r="B9" i="1"/>
  <c r="B8" i="1"/>
  <c r="B7" i="1"/>
  <c r="B6" i="1"/>
  <c r="B5" i="1"/>
</calcChain>
</file>

<file path=xl/sharedStrings.xml><?xml version="1.0" encoding="utf-8"?>
<sst xmlns="http://schemas.openxmlformats.org/spreadsheetml/2006/main" count="2158" uniqueCount="678">
  <si>
    <t>ClothManager – Resumen de APIs</t>
  </si>
  <si>
    <t>Todos los conteos son fórmulas sobre las hojas 'Inventario APIs' y 'Matriz Componentes'.</t>
  </si>
  <si>
    <t>Indicador</t>
  </si>
  <si>
    <t>Valor</t>
  </si>
  <si>
    <t>Total de APIs</t>
  </si>
  <si>
    <t xml:space="preserve">  APIs internas</t>
  </si>
  <si>
    <t xml:space="preserve">  APIs externas</t>
  </si>
  <si>
    <t>Total de endpoints/métodos definidos</t>
  </si>
  <si>
    <t xml:space="preserve">  GET</t>
  </si>
  <si>
    <t xml:space="preserve">  POST</t>
  </si>
  <si>
    <t xml:space="preserve">  PUT</t>
  </si>
  <si>
    <t xml:space="preserve">  DELETE</t>
  </si>
  <si>
    <t>Endpoints que requieren parámetros</t>
  </si>
  <si>
    <t>Endpoints sin parámetros</t>
  </si>
  <si>
    <t>Clasificación funcional</t>
  </si>
  <si>
    <t>Categoría funcional</t>
  </si>
  <si>
    <t>N.º de APIs</t>
  </si>
  <si>
    <t>Consulta</t>
  </si>
  <si>
    <t>Transaccional</t>
  </si>
  <si>
    <t>Gestión de reservas</t>
  </si>
  <si>
    <t>Eventos y sincronización</t>
  </si>
  <si>
    <t>Gestión de clientes</t>
  </si>
  <si>
    <t>Financiera</t>
  </si>
  <si>
    <t>Catálogo e inventario</t>
  </si>
  <si>
    <t>Tributaria</t>
  </si>
  <si>
    <t>Canal de venta</t>
  </si>
  <si>
    <t>Logística</t>
  </si>
  <si>
    <t>Recursos humanos</t>
  </si>
  <si>
    <t>Total</t>
  </si>
  <si>
    <t>Criterio de clasificación</t>
  </si>
  <si>
    <t>• Internas (10 tipos): Consulta (consultar información, validar disponibilidad, catálogo, saldo) · Transaccional (registrar, actualizar estado, confirmar) · Gestión de reservas (reservar, liberar) · Eventos y sincronización (notificar).</t>
  </si>
  <si>
    <t>• Externas: se clasifican por el dominio de negocio que integran (financiera, tributaria, logística, canal de venta, etc.).</t>
  </si>
  <si>
    <t>• Convención de métodos: GET = leer, POST = crear/enviar, PUT = actualizar/confirmar, DELETE = liberar/cancelar/eliminar.</t>
  </si>
  <si>
    <t>• Endpoints, parámetros y JSON son una propuesta de diseño basada en las Tablas 7 y 8; el documento no los define.</t>
  </si>
  <si>
    <t>Inventario y clasificación de APIs – ClothManager</t>
  </si>
  <si>
    <t>Fuente: Tablas 7 y 8 del documento. La categoría funcional y el N.º de métodos son propuesta de diseño.</t>
  </si>
  <si>
    <t>ID</t>
  </si>
  <si>
    <t>Nombre</t>
  </si>
  <si>
    <t>Tipo</t>
  </si>
  <si>
    <t>Módulo solicitante / consumidor</t>
  </si>
  <si>
    <t>Módulo proveedor / responsable</t>
  </si>
  <si>
    <t>Propósito</t>
  </si>
  <si>
    <t>N.º de métodos</t>
  </si>
  <si>
    <t>API-EXT-001</t>
  </si>
  <si>
    <t>API Clientes</t>
  </si>
  <si>
    <t>Externa</t>
  </si>
  <si>
    <t>Web / vendedores</t>
  </si>
  <si>
    <t>MOD-01 Gestión de Pedidos Web</t>
  </si>
  <si>
    <t>Consultar y registrar información de clientes y direcciones.</t>
  </si>
  <si>
    <t>API-EXT-002</t>
  </si>
  <si>
    <t>API Créditos</t>
  </si>
  <si>
    <t>Gestión de Pedidos Mayoristas</t>
  </si>
  <si>
    <t>MOD-07 Gestión de Cartera</t>
  </si>
  <si>
    <t>Consultar cupo, estado de crédito y restricciones.</t>
  </si>
  <si>
    <t>API-EXT-003</t>
  </si>
  <si>
    <t>API Pagos</t>
  </si>
  <si>
    <t>Web / POS</t>
  </si>
  <si>
    <t>MOD-04 Gestión de POS y Facturación</t>
  </si>
  <si>
    <t>Validar confirmación y resultado de pagos.</t>
  </si>
  <si>
    <t>API-EXT-004</t>
  </si>
  <si>
    <t>API Productos</t>
  </si>
  <si>
    <t>Web / POS / Mayoristas</t>
  </si>
  <si>
    <t>MOD-02 Gestión de Inventario</t>
  </si>
  <si>
    <t>Consultar catálogo, variantes, precios y disponibilidad.</t>
  </si>
  <si>
    <t>API-EXT-005</t>
  </si>
  <si>
    <t>API Facturación</t>
  </si>
  <si>
    <t>POS / pedidos</t>
  </si>
  <si>
    <t>Transmitir documentos electrónicos y consultar su estado.</t>
  </si>
  <si>
    <t>API-EXT-006</t>
  </si>
  <si>
    <t>API WhatsApp</t>
  </si>
  <si>
    <t>Vendedores</t>
  </si>
  <si>
    <t>Intercambiar mensajes y datos de pedidos originados por WhatsApp.</t>
  </si>
  <si>
    <t>API-EXT-007</t>
  </si>
  <si>
    <t>API Transporte</t>
  </si>
  <si>
    <t>Despachos</t>
  </si>
  <si>
    <t>MOD-01 Gestión de Pedidos Web / MOD-06 Gestión de Pedidos Mayoristas</t>
  </si>
  <si>
    <t>Gestionar guías y consultar estados de entrega.</t>
  </si>
  <si>
    <t>API-EXT-008</t>
  </si>
  <si>
    <t>API Nómina</t>
  </si>
  <si>
    <t>Administración</t>
  </si>
  <si>
    <t>MOD-05 Gestión de Nómina y Comisiones</t>
  </si>
  <si>
    <t>Intercambiar información requerida para procesos de nómina.</t>
  </si>
  <si>
    <t>API-INT-001</t>
  </si>
  <si>
    <t>Consultar información</t>
  </si>
  <si>
    <t>Interna</t>
  </si>
  <si>
    <t>Consultar datos vigentes necesarios para continuar una operación.</t>
  </si>
  <si>
    <t>API-INT-002</t>
  </si>
  <si>
    <t>Validar disponibilidad</t>
  </si>
  <si>
    <t>MOD-03 Gestión de Producción</t>
  </si>
  <si>
    <t>Validar si un recurso, saldo o estado permite continuar.</t>
  </si>
  <si>
    <t>API-INT-003</t>
  </si>
  <si>
    <t>Registrar operación</t>
  </si>
  <si>
    <t>Registrar una transacción generada por otro módulo.</t>
  </si>
  <si>
    <t>API-INT-004</t>
  </si>
  <si>
    <t>Actualizar estado</t>
  </si>
  <si>
    <t>Cambiar el estado de una operación relacionada.</t>
  </si>
  <si>
    <t>API-INT-005</t>
  </si>
  <si>
    <t>Consultar catálogo</t>
  </si>
  <si>
    <t>MOD-06 Gestión de Pedidos Mayoristas</t>
  </si>
  <si>
    <t>Obtener datos maestros requeridos por la operación.</t>
  </si>
  <si>
    <t>API-INT-006</t>
  </si>
  <si>
    <t>Confirmar operación</t>
  </si>
  <si>
    <t>Confirmar el resultado de una operación realizada.</t>
  </si>
  <si>
    <t>API-INT-007</t>
  </si>
  <si>
    <t>Consultar saldo</t>
  </si>
  <si>
    <t>MOD-08 Gestión de Usuarios</t>
  </si>
  <si>
    <t>Consultar saldos, cupos o valores asociados.</t>
  </si>
  <si>
    <t>API-INT-008</t>
  </si>
  <si>
    <t>Reservar recurso</t>
  </si>
  <si>
    <t>MOD-09 Costos e Insumos</t>
  </si>
  <si>
    <t>Solicitar la reserva temporal de un recurso.</t>
  </si>
  <si>
    <t>API-INT-009</t>
  </si>
  <si>
    <t>Liberar recurso</t>
  </si>
  <si>
    <t>MOD-10 Parametrización</t>
  </si>
  <si>
    <t>Liberar una reserva previamente registrada.</t>
  </si>
  <si>
    <t>API-INT-010</t>
  </si>
  <si>
    <t>Notificar evento</t>
  </si>
  <si>
    <t>Publicar un evento para sincronizar otro módulo.</t>
  </si>
  <si>
    <t>API-INT-011</t>
  </si>
  <si>
    <t>API-INT-012</t>
  </si>
  <si>
    <t>API-INT-013</t>
  </si>
  <si>
    <t>API-INT-014</t>
  </si>
  <si>
    <t>API-INT-015</t>
  </si>
  <si>
    <t>API-INT-016</t>
  </si>
  <si>
    <t>API-INT-017</t>
  </si>
  <si>
    <t>API-INT-018</t>
  </si>
  <si>
    <t>API-INT-019</t>
  </si>
  <si>
    <t>API-INT-020</t>
  </si>
  <si>
    <t>API-INT-021</t>
  </si>
  <si>
    <t>API-INT-022</t>
  </si>
  <si>
    <t>API-INT-023</t>
  </si>
  <si>
    <t>API-INT-024</t>
  </si>
  <si>
    <t>API-INT-025</t>
  </si>
  <si>
    <t>API-INT-026</t>
  </si>
  <si>
    <t>API-INT-027</t>
  </si>
  <si>
    <t>API-INT-028</t>
  </si>
  <si>
    <t>API-INT-029</t>
  </si>
  <si>
    <t>API-INT-030</t>
  </si>
  <si>
    <t>API-INT-031</t>
  </si>
  <si>
    <t>API-INT-032</t>
  </si>
  <si>
    <t>API-INT-033</t>
  </si>
  <si>
    <t>API-INT-034</t>
  </si>
  <si>
    <t>API-INT-035</t>
  </si>
  <si>
    <t>API-INT-036</t>
  </si>
  <si>
    <t>API-INT-037</t>
  </si>
  <si>
    <t>API-INT-038</t>
  </si>
  <si>
    <t>API-INT-039</t>
  </si>
  <si>
    <t>API-INT-040</t>
  </si>
  <si>
    <t>API-INT-041</t>
  </si>
  <si>
    <t>API-INT-042</t>
  </si>
  <si>
    <t>API-INT-043</t>
  </si>
  <si>
    <t>API-INT-044</t>
  </si>
  <si>
    <t>API-INT-045</t>
  </si>
  <si>
    <t>API-INT-046</t>
  </si>
  <si>
    <t>API-INT-047</t>
  </si>
  <si>
    <t>API-INT-048</t>
  </si>
  <si>
    <t>API-INT-049</t>
  </si>
  <si>
    <t>API-INT-050</t>
  </si>
  <si>
    <t>API-INT-051</t>
  </si>
  <si>
    <t>API-INT-052</t>
  </si>
  <si>
    <t>API-INT-053</t>
  </si>
  <si>
    <t>API-INT-054</t>
  </si>
  <si>
    <t>API-INT-055</t>
  </si>
  <si>
    <t>API-INT-056</t>
  </si>
  <si>
    <t>API-INT-057</t>
  </si>
  <si>
    <t>API-INT-058</t>
  </si>
  <si>
    <t>API-INT-059</t>
  </si>
  <si>
    <t>API-INT-060</t>
  </si>
  <si>
    <t>API-INT-061</t>
  </si>
  <si>
    <t>API-INT-062</t>
  </si>
  <si>
    <t>API-INT-063</t>
  </si>
  <si>
    <t>API-INT-064</t>
  </si>
  <si>
    <t>API-INT-065</t>
  </si>
  <si>
    <t>API-INT-066</t>
  </si>
  <si>
    <t>API-INT-067</t>
  </si>
  <si>
    <t>API-INT-068</t>
  </si>
  <si>
    <t>API-INT-069</t>
  </si>
  <si>
    <t>API-INT-070</t>
  </si>
  <si>
    <t>API-INT-071</t>
  </si>
  <si>
    <t>API-INT-072</t>
  </si>
  <si>
    <t>API-INT-073</t>
  </si>
  <si>
    <t>API-INT-074</t>
  </si>
  <si>
    <t>API-INT-075</t>
  </si>
  <si>
    <t>API-INT-076</t>
  </si>
  <si>
    <t>API-INT-077</t>
  </si>
  <si>
    <t>API-INT-078</t>
  </si>
  <si>
    <t>API-INT-079</t>
  </si>
  <si>
    <t>API-INT-080</t>
  </si>
  <si>
    <t>API-INT-081</t>
  </si>
  <si>
    <t>API-INT-082</t>
  </si>
  <si>
    <t>API-INT-083</t>
  </si>
  <si>
    <t>API-INT-084</t>
  </si>
  <si>
    <t>API-INT-085</t>
  </si>
  <si>
    <t>API-INT-086</t>
  </si>
  <si>
    <t>API-INT-087</t>
  </si>
  <si>
    <t>API-INT-088</t>
  </si>
  <si>
    <t>API-INT-089</t>
  </si>
  <si>
    <t>API-INT-090</t>
  </si>
  <si>
    <t>API-INT-091</t>
  </si>
  <si>
    <t>API-INT-092</t>
  </si>
  <si>
    <t>API-INT-093</t>
  </si>
  <si>
    <t>API-INT-094</t>
  </si>
  <si>
    <t>API-INT-095</t>
  </si>
  <si>
    <t>API-INT-096</t>
  </si>
  <si>
    <t>API-INT-097</t>
  </si>
  <si>
    <t>API-INT-098</t>
  </si>
  <si>
    <t>API-INT-099</t>
  </si>
  <si>
    <t>API-INT-100</t>
  </si>
  <si>
    <t>Matriz de gestión de componentes (Nombre · Componentes · Parámetros · Métodos)</t>
  </si>
  <si>
    <t>Propuesta de diseño: el documento no define endpoints. Los componentes usan las 5 capas de la Tabla 6 (API, Application / Service, Domain, Repository, BaseDeDatos).</t>
  </si>
  <si>
    <t>ID API</t>
  </si>
  <si>
    <t>Componentes</t>
  </si>
  <si>
    <t>Método</t>
  </si>
  <si>
    <t>Endpoint</t>
  </si>
  <si>
    <t>Parámetros</t>
  </si>
  <si>
    <t>¿Requiere parámetros?</t>
  </si>
  <si>
    <t>Código de éxito</t>
  </si>
  <si>
    <t>Consultar información  (MOD-01 → MOD-02)</t>
  </si>
  <si>
    <t>Solicita: Pedidos.Application / Service
Provee: Inventario.API → Inventario.Application / Service → Inventario.Domain → Inventario.Repository → Inventario.BaseDeDatos</t>
  </si>
  <si>
    <t>GET</t>
  </si>
  <si>
    <t>/api/v1/inventario/consultas</t>
  </si>
  <si>
    <t>Query: id (string, obligatorio), criterio (string, opcional)</t>
  </si>
  <si>
    <t>Sí</t>
  </si>
  <si>
    <t>Validar disponibilidad  (MOD-01 → MOD-03)</t>
  </si>
  <si>
    <t>Solicita: Pedidos.Application / Service
Provee: Produccion.API → Produccion.Application / Service → Produccion.Domain → Produccion.Repository → Produccion.BaseDeDatos</t>
  </si>
  <si>
    <t>/api/v1/produccion/disponibilidad</t>
  </si>
  <si>
    <t>Query: id (string, obligatorio), cantidad (integer, obligatorio)</t>
  </si>
  <si>
    <t>Registrar operación  (MOD-01 → MOD-04)</t>
  </si>
  <si>
    <t>Solicita: Pedidos.Application / Service
Provee: POS.API → POS.Application / Service → POS.Domain → POS.Repository → POS.BaseDeDatos</t>
  </si>
  <si>
    <t>POST</t>
  </si>
  <si>
    <t>/api/v1/pos-facturacion/operaciones</t>
  </si>
  <si>
    <t>Body: tipo (string), referencia (string), usuario (string), fecha (datetime), datos (object)</t>
  </si>
  <si>
    <t>Actualizar estado  (MOD-01 → MOD-05)</t>
  </si>
  <si>
    <t>Solicita: Pedidos.Application / Service
Provee: Nomina.API → Nomina.Application / Service → Nomina.Domain → Nomina.Repository → Nomina.BaseDeDatos</t>
  </si>
  <si>
    <t>PUT</t>
  </si>
  <si>
    <t>/api/v1/nomina/operaciones/{id}/estado</t>
  </si>
  <si>
    <t>Ruta: id (string, obligatorio)
Body: estadoAnterior (string), estadoNuevo (string), motivo (string)</t>
  </si>
  <si>
    <t>Consultar catálogo  (MOD-01 → MOD-06)</t>
  </si>
  <si>
    <t>Solicita: Pedidos.Application / Service
Provee: PedidosMayoristas.API → PedidosMayoristas.Application / Service → PedidosMayoristas.Domain → PedidosMayoristas.Repository → PedidosMayoristas.BaseDeDatos</t>
  </si>
  <si>
    <t>/api/v1/pedidos-mayoristas/catalogos/{tipo}</t>
  </si>
  <si>
    <t>Ruta: tipo (string, obligatorio)
Query: soloVigentes (boolean, opcional)</t>
  </si>
  <si>
    <t>Confirmar operación  (MOD-01 → MOD-07)</t>
  </si>
  <si>
    <t>Solicita: Pedidos.Application / Service
Provee: Cartera.API → Cartera.Application / Service → Cartera.Domain → Cartera.Repository → Cartera.BaseDeDatos</t>
  </si>
  <si>
    <t>/api/v1/cartera/operaciones/{id}/confirmacion</t>
  </si>
  <si>
    <t>Ruta: id (string, obligatorio)
Body: resultado (string), fecha (datetime)</t>
  </si>
  <si>
    <t>Consultar saldo  (MOD-01 → MOD-08)</t>
  </si>
  <si>
    <t>Solicita: Pedidos.Application / Service
Provee: Usuarios.API → Usuarios.Application / Service → Usuarios.Domain → Usuarios.Repository → Usuarios.BaseDeDatos</t>
  </si>
  <si>
    <t>/api/v1/usuarios/saldos/{id}</t>
  </si>
  <si>
    <t>Ruta: id (string, obligatorio)
Query: fecha (date, opcional)</t>
  </si>
  <si>
    <t>Reservar recurso  (MOD-01 → MOD-09)</t>
  </si>
  <si>
    <t>Solicita: Pedidos.Application / Service
Provee: CostosInsumos.API → CostosInsumos.Application / Service → CostosInsumos.Domain → CostosInsumos.Repository → CostosInsumos.BaseDeDatos</t>
  </si>
  <si>
    <t>/api/v1/costos-insumos/reservas</t>
  </si>
  <si>
    <t>Body: recurso (string), cantidad (integer), referencia (string), vigencia (datetime)</t>
  </si>
  <si>
    <t>Liberar recurso  (MOD-01 → MOD-10)</t>
  </si>
  <si>
    <t>Solicita: Pedidos.Application / Service
Provee: Parametrizacion.API → Parametrizacion.Application / Service → Parametrizacion.Domain → Parametrizacion.Repository → Parametrizacion.BaseDeDatos</t>
  </si>
  <si>
    <t>DELETE</t>
  </si>
  <si>
    <t>/api/v1/parametrizacion/reservas/{referencia}</t>
  </si>
  <si>
    <t>Ruta: referencia (string, obligatorio)
Query: motivo (string, obligatorio)</t>
  </si>
  <si>
    <t>Notificar evento  (MOD-01 → MOD-01)</t>
  </si>
  <si>
    <t>Solicita: Pedidos.Application / Service
Provee: Pedidos.API → Pedidos.Application / Service → Pedidos.Domain → Pedidos.Repository → Pedidos.BaseDeDatos</t>
  </si>
  <si>
    <t>/api/v1/pedidos-web/eventos</t>
  </si>
  <si>
    <t>Body: tipoEvento (string), referencia (string), estado (string), marcaTiempo (datetime)</t>
  </si>
  <si>
    <t>Consultar información  (MOD-02 → MOD-01)</t>
  </si>
  <si>
    <t>Solicita: Inventario.Application / Service
Provee: Pedidos.API → Pedidos.Application / Service → Pedidos.Domain → Pedidos.Repository → Pedidos.BaseDeDatos</t>
  </si>
  <si>
    <t>/api/v1/pedidos-web/consultas</t>
  </si>
  <si>
    <t>Validar disponibilidad  (MOD-02 → MOD-03)</t>
  </si>
  <si>
    <t>Solicita: Inventario.Application / Service
Provee: Produccion.API → Produccion.Application / Service → Produccion.Domain → Produccion.Repository → Produccion.BaseDeDatos</t>
  </si>
  <si>
    <t>Registrar operación  (MOD-02 → MOD-04)</t>
  </si>
  <si>
    <t>Solicita: Inventario.Application / Service
Provee: POS.API → POS.Application / Service → POS.Domain → POS.Repository → POS.BaseDeDatos</t>
  </si>
  <si>
    <t>Actualizar estado  (MOD-02 → MOD-05)</t>
  </si>
  <si>
    <t>Solicita: Inventario.Application / Service
Provee: Nomina.API → Nomina.Application / Service → Nomina.Domain → Nomina.Repository → Nomina.BaseDeDatos</t>
  </si>
  <si>
    <t>Consultar catálogo  (MOD-02 → MOD-06)</t>
  </si>
  <si>
    <t>Solicita: Inventario.Application / Service
Provee: PedidosMayoristas.API → PedidosMayoristas.Application / Service → PedidosMayoristas.Domain → PedidosMayoristas.Repository → PedidosMayoristas.BaseDeDatos</t>
  </si>
  <si>
    <t>Confirmar operación  (MOD-02 → MOD-07)</t>
  </si>
  <si>
    <t>Solicita: Inventario.Application / Service
Provee: Cartera.API → Cartera.Application / Service → Cartera.Domain → Cartera.Repository → Cartera.BaseDeDatos</t>
  </si>
  <si>
    <t>Consultar saldo  (MOD-02 → MOD-08)</t>
  </si>
  <si>
    <t>Solicita: Inventario.Application / Service
Provee: Usuarios.API → Usuarios.Application / Service → Usuarios.Domain → Usuarios.Repository → Usuarios.BaseDeDatos</t>
  </si>
  <si>
    <t>Reservar recurso  (MOD-02 → MOD-09)</t>
  </si>
  <si>
    <t>Solicita: Inventario.Application / Service
Provee: CostosInsumos.API → CostosInsumos.Application / Service → CostosInsumos.Domain → CostosInsumos.Repository → CostosInsumos.BaseDeDatos</t>
  </si>
  <si>
    <t>Liberar recurso  (MOD-02 → MOD-10)</t>
  </si>
  <si>
    <t>Solicita: Inventario.Application / Service
Provee: Parametrizacion.API → Parametrizacion.Application / Service → Parametrizacion.Domain → Parametrizacion.Repository → Parametrizacion.BaseDeDatos</t>
  </si>
  <si>
    <t>Notificar evento  (MOD-02 → MOD-02)</t>
  </si>
  <si>
    <t>Solicita: Inventario.Application / Service
Provee: Inventario.API → Inventario.Application / Service → Inventario.Domain → Inventario.Repository → Inventario.BaseDeDatos</t>
  </si>
  <si>
    <t>/api/v1/inventario/eventos</t>
  </si>
  <si>
    <t>Consultar información  (MOD-03 → MOD-01)</t>
  </si>
  <si>
    <t>Solicita: Produccion.Application / Service
Provee: Pedidos.API → Pedidos.Application / Service → Pedidos.Domain → Pedidos.Repository → Pedidos.BaseDeDatos</t>
  </si>
  <si>
    <t>Validar disponibilidad  (MOD-03 → MOD-02)</t>
  </si>
  <si>
    <t>Solicita: Produccion.Application / Service
Provee: Inventario.API → Inventario.Application / Service → Inventario.Domain → Inventario.Repository → Inventario.BaseDeDatos</t>
  </si>
  <si>
    <t>/api/v1/inventario/disponibilidad</t>
  </si>
  <si>
    <t>Registrar operación  (MOD-03 → MOD-04)</t>
  </si>
  <si>
    <t>Solicita: Produccion.Application / Service
Provee: POS.API → POS.Application / Service → POS.Domain → POS.Repository → POS.BaseDeDatos</t>
  </si>
  <si>
    <t>Actualizar estado  (MOD-03 → MOD-05)</t>
  </si>
  <si>
    <t>Solicita: Produccion.Application / Service
Provee: Nomina.API → Nomina.Application / Service → Nomina.Domain → Nomina.Repository → Nomina.BaseDeDatos</t>
  </si>
  <si>
    <t>Consultar catálogo  (MOD-03 → MOD-06)</t>
  </si>
  <si>
    <t>Solicita: Produccion.Application / Service
Provee: PedidosMayoristas.API → PedidosMayoristas.Application / Service → PedidosMayoristas.Domain → PedidosMayoristas.Repository → PedidosMayoristas.BaseDeDatos</t>
  </si>
  <si>
    <t>Confirmar operación  (MOD-03 → MOD-07)</t>
  </si>
  <si>
    <t>Solicita: Produccion.Application / Service
Provee: Cartera.API → Cartera.Application / Service → Cartera.Domain → Cartera.Repository → Cartera.BaseDeDatos</t>
  </si>
  <si>
    <t>Consultar saldo  (MOD-03 → MOD-08)</t>
  </si>
  <si>
    <t>Solicita: Produccion.Application / Service
Provee: Usuarios.API → Usuarios.Application / Service → Usuarios.Domain → Usuarios.Repository → Usuarios.BaseDeDatos</t>
  </si>
  <si>
    <t>Reservar recurso  (MOD-03 → MOD-09)</t>
  </si>
  <si>
    <t>Solicita: Produccion.Application / Service
Provee: CostosInsumos.API → CostosInsumos.Application / Service → CostosInsumos.Domain → CostosInsumos.Repository → CostosInsumos.BaseDeDatos</t>
  </si>
  <si>
    <t>Liberar recurso  (MOD-03 → MOD-10)</t>
  </si>
  <si>
    <t>Solicita: Produccion.Application / Service
Provee: Parametrizacion.API → Parametrizacion.Application / Service → Parametrizacion.Domain → Parametrizacion.Repository → Parametrizacion.BaseDeDatos</t>
  </si>
  <si>
    <t>Notificar evento  (MOD-03 → MOD-03)</t>
  </si>
  <si>
    <t>Solicita: Produccion.Application / Service
Provee: Produccion.API → Produccion.Application / Service → Produccion.Domain → Produccion.Repository → Produccion.BaseDeDatos</t>
  </si>
  <si>
    <t>/api/v1/produccion/eventos</t>
  </si>
  <si>
    <t>Consultar información  (MOD-04 → MOD-01)</t>
  </si>
  <si>
    <t>Solicita: POS.Application / Service
Provee: Pedidos.API → Pedidos.Application / Service → Pedidos.Domain → Pedidos.Repository → Pedidos.BaseDeDatos</t>
  </si>
  <si>
    <t>Validar disponibilidad  (MOD-04 → MOD-02)</t>
  </si>
  <si>
    <t>Solicita: POS.Application / Service
Provee: Inventario.API → Inventario.Application / Service → Inventario.Domain → Inventario.Repository → Inventario.BaseDeDatos</t>
  </si>
  <si>
    <t>Registrar operación  (MOD-04 → MOD-03)</t>
  </si>
  <si>
    <t>Solicita: POS.Application / Service
Provee: Produccion.API → Produccion.Application / Service → Produccion.Domain → Produccion.Repository → Produccion.BaseDeDatos</t>
  </si>
  <si>
    <t>/api/v1/produccion/operaciones</t>
  </si>
  <si>
    <t>Actualizar estado  (MOD-04 → MOD-05)</t>
  </si>
  <si>
    <t>Solicita: POS.Application / Service
Provee: Nomina.API → Nomina.Application / Service → Nomina.Domain → Nomina.Repository → Nomina.BaseDeDatos</t>
  </si>
  <si>
    <t>Consultar catálogo  (MOD-04 → MOD-06)</t>
  </si>
  <si>
    <t>Solicita: POS.Application / Service
Provee: PedidosMayoristas.API → PedidosMayoristas.Application / Service → PedidosMayoristas.Domain → PedidosMayoristas.Repository → PedidosMayoristas.BaseDeDatos</t>
  </si>
  <si>
    <t>Confirmar operación  (MOD-04 → MOD-07)</t>
  </si>
  <si>
    <t>Solicita: POS.Application / Service
Provee: Cartera.API → Cartera.Application / Service → Cartera.Domain → Cartera.Repository → Cartera.BaseDeDatos</t>
  </si>
  <si>
    <t>Consultar saldo  (MOD-04 → MOD-08)</t>
  </si>
  <si>
    <t>Solicita: POS.Application / Service
Provee: Usuarios.API → Usuarios.Application / Service → Usuarios.Domain → Usuarios.Repository → Usuarios.BaseDeDatos</t>
  </si>
  <si>
    <t>Reservar recurso  (MOD-04 → MOD-09)</t>
  </si>
  <si>
    <t>Solicita: POS.Application / Service
Provee: CostosInsumos.API → CostosInsumos.Application / Service → CostosInsumos.Domain → CostosInsumos.Repository → CostosInsumos.BaseDeDatos</t>
  </si>
  <si>
    <t>Liberar recurso  (MOD-04 → MOD-10)</t>
  </si>
  <si>
    <t>Solicita: POS.Application / Service
Provee: Parametrizacion.API → Parametrizacion.Application / Service → Parametrizacion.Domain → Parametrizacion.Repository → Parametrizacion.BaseDeDatos</t>
  </si>
  <si>
    <t>Notificar evento  (MOD-04 → MOD-04)</t>
  </si>
  <si>
    <t>Solicita: POS.Application / Service
Provee: POS.API → POS.Application / Service → POS.Domain → POS.Repository → POS.BaseDeDatos</t>
  </si>
  <si>
    <t>/api/v1/pos-facturacion/eventos</t>
  </si>
  <si>
    <t>Consultar información  (MOD-05 → MOD-01)</t>
  </si>
  <si>
    <t>Solicita: Nomina.Application / Service
Provee: Pedidos.API → Pedidos.Application / Service → Pedidos.Domain → Pedidos.Repository → Pedidos.BaseDeDatos</t>
  </si>
  <si>
    <t>Validar disponibilidad  (MOD-05 → MOD-02)</t>
  </si>
  <si>
    <t>Solicita: Nomina.Application / Service
Provee: Inventario.API → Inventario.Application / Service → Inventario.Domain → Inventario.Repository → Inventario.BaseDeDatos</t>
  </si>
  <si>
    <t>Registrar operación  (MOD-05 → MOD-03)</t>
  </si>
  <si>
    <t>Solicita: Nomina.Application / Service
Provee: Produccion.API → Produccion.Application / Service → Produccion.Domain → Produccion.Repository → Produccion.BaseDeDatos</t>
  </si>
  <si>
    <t>Actualizar estado  (MOD-05 → MOD-04)</t>
  </si>
  <si>
    <t>Solicita: Nomina.Application / Service
Provee: POS.API → POS.Application / Service → POS.Domain → POS.Repository → POS.BaseDeDatos</t>
  </si>
  <si>
    <t>/api/v1/pos-facturacion/operaciones/{id}/estado</t>
  </si>
  <si>
    <t>Consultar catálogo  (MOD-05 → MOD-06)</t>
  </si>
  <si>
    <t>Solicita: Nomina.Application / Service
Provee: PedidosMayoristas.API → PedidosMayoristas.Application / Service → PedidosMayoristas.Domain → PedidosMayoristas.Repository → PedidosMayoristas.BaseDeDatos</t>
  </si>
  <si>
    <t>Confirmar operación  (MOD-05 → MOD-07)</t>
  </si>
  <si>
    <t>Solicita: Nomina.Application / Service
Provee: Cartera.API → Cartera.Application / Service → Cartera.Domain → Cartera.Repository → Cartera.BaseDeDatos</t>
  </si>
  <si>
    <t>Consultar saldo  (MOD-05 → MOD-08)</t>
  </si>
  <si>
    <t>Solicita: Nomina.Application / Service
Provee: Usuarios.API → Usuarios.Application / Service → Usuarios.Domain → Usuarios.Repository → Usuarios.BaseDeDatos</t>
  </si>
  <si>
    <t>Reservar recurso  (MOD-05 → MOD-09)</t>
  </si>
  <si>
    <t>Solicita: Nomina.Application / Service
Provee: CostosInsumos.API → CostosInsumos.Application / Service → CostosInsumos.Domain → CostosInsumos.Repository → CostosInsumos.BaseDeDatos</t>
  </si>
  <si>
    <t>Liberar recurso  (MOD-05 → MOD-10)</t>
  </si>
  <si>
    <t>Solicita: Nomina.Application / Service
Provee: Parametrizacion.API → Parametrizacion.Application / Service → Parametrizacion.Domain → Parametrizacion.Repository → Parametrizacion.BaseDeDatos</t>
  </si>
  <si>
    <t>Notificar evento  (MOD-05 → MOD-05)</t>
  </si>
  <si>
    <t>Solicita: Nomina.Application / Service
Provee: Nomina.API → Nomina.Application / Service → Nomina.Domain → Nomina.Repository → Nomina.BaseDeDatos</t>
  </si>
  <si>
    <t>/api/v1/nomina/eventos</t>
  </si>
  <si>
    <t>Consultar información  (MOD-06 → MOD-01)</t>
  </si>
  <si>
    <t>Solicita: PedidosMayoristas.Application / Service
Provee: Pedidos.API → Pedidos.Application / Service → Pedidos.Domain → Pedidos.Repository → Pedidos.BaseDeDatos</t>
  </si>
  <si>
    <t>Validar disponibilidad  (MOD-06 → MOD-02)</t>
  </si>
  <si>
    <t>Solicita: PedidosMayoristas.Application / Service
Provee: Inventario.API → Inventario.Application / Service → Inventario.Domain → Inventario.Repository → Inventario.BaseDeDatos</t>
  </si>
  <si>
    <t>Registrar operación  (MOD-06 → MOD-03)</t>
  </si>
  <si>
    <t>Solicita: PedidosMayoristas.Application / Service
Provee: Produccion.API → Produccion.Application / Service → Produccion.Domain → Produccion.Repository → Produccion.BaseDeDatos</t>
  </si>
  <si>
    <t>Actualizar estado  (MOD-06 → MOD-04)</t>
  </si>
  <si>
    <t>Solicita: PedidosMayoristas.Application / Service
Provee: POS.API → POS.Application / Service → POS.Domain → POS.Repository → POS.BaseDeDatos</t>
  </si>
  <si>
    <t>Consultar catálogo  (MOD-06 → MOD-05)</t>
  </si>
  <si>
    <t>Solicita: PedidosMayoristas.Application / Service
Provee: Nomina.API → Nomina.Application / Service → Nomina.Domain → Nomina.Repository → Nomina.BaseDeDatos</t>
  </si>
  <si>
    <t>/api/v1/nomina/catalogos/{tipo}</t>
  </si>
  <si>
    <t>Confirmar operación  (MOD-06 → MOD-07)</t>
  </si>
  <si>
    <t>Solicita: PedidosMayoristas.Application / Service
Provee: Cartera.API → Cartera.Application / Service → Cartera.Domain → Cartera.Repository → Cartera.BaseDeDatos</t>
  </si>
  <si>
    <t>Consultar saldo  (MOD-06 → MOD-08)</t>
  </si>
  <si>
    <t>Solicita: PedidosMayoristas.Application / Service
Provee: Usuarios.API → Usuarios.Application / Service → Usuarios.Domain → Usuarios.Repository → Usuarios.BaseDeDatos</t>
  </si>
  <si>
    <t>Reservar recurso  (MOD-06 → MOD-09)</t>
  </si>
  <si>
    <t>Solicita: PedidosMayoristas.Application / Service
Provee: CostosInsumos.API → CostosInsumos.Application / Service → CostosInsumos.Domain → CostosInsumos.Repository → CostosInsumos.BaseDeDatos</t>
  </si>
  <si>
    <t>Liberar recurso  (MOD-06 → MOD-10)</t>
  </si>
  <si>
    <t>Solicita: PedidosMayoristas.Application / Service
Provee: Parametrizacion.API → Parametrizacion.Application / Service → Parametrizacion.Domain → Parametrizacion.Repository → Parametrizacion.BaseDeDatos</t>
  </si>
  <si>
    <t>Notificar evento  (MOD-06 → MOD-06)</t>
  </si>
  <si>
    <t>Solicita: PedidosMayoristas.Application / Service
Provee: PedidosMayoristas.API → PedidosMayoristas.Application / Service → PedidosMayoristas.Domain → PedidosMayoristas.Repository → PedidosMayoristas.BaseDeDatos</t>
  </si>
  <si>
    <t>/api/v1/pedidos-mayoristas/eventos</t>
  </si>
  <si>
    <t>Consultar información  (MOD-07 → MOD-01)</t>
  </si>
  <si>
    <t>Solicita: Cartera.Application / Service
Provee: Pedidos.API → Pedidos.Application / Service → Pedidos.Domain → Pedidos.Repository → Pedidos.BaseDeDatos</t>
  </si>
  <si>
    <t>Validar disponibilidad  (MOD-07 → MOD-02)</t>
  </si>
  <si>
    <t>Solicita: Cartera.Application / Service
Provee: Inventario.API → Inventario.Application / Service → Inventario.Domain → Inventario.Repository → Inventario.BaseDeDatos</t>
  </si>
  <si>
    <t>Registrar operación  (MOD-07 → MOD-03)</t>
  </si>
  <si>
    <t>Solicita: Cartera.Application / Service
Provee: Produccion.API → Produccion.Application / Service → Produccion.Domain → Produccion.Repository → Produccion.BaseDeDatos</t>
  </si>
  <si>
    <t>Actualizar estado  (MOD-07 → MOD-04)</t>
  </si>
  <si>
    <t>Solicita: Cartera.Application / Service
Provee: POS.API → POS.Application / Service → POS.Domain → POS.Repository → POS.BaseDeDatos</t>
  </si>
  <si>
    <t>Consultar catálogo  (MOD-07 → MOD-05)</t>
  </si>
  <si>
    <t>Solicita: Cartera.Application / Service
Provee: Nomina.API → Nomina.Application / Service → Nomina.Domain → Nomina.Repository → Nomina.BaseDeDatos</t>
  </si>
  <si>
    <t>Confirmar operación  (MOD-07 → MOD-06)</t>
  </si>
  <si>
    <t>Solicita: Cartera.Application / Service
Provee: PedidosMayoristas.API → PedidosMayoristas.Application / Service → PedidosMayoristas.Domain → PedidosMayoristas.Repository → PedidosMayoristas.BaseDeDatos</t>
  </si>
  <si>
    <t>/api/v1/pedidos-mayoristas/operaciones/{id}/confirmacion</t>
  </si>
  <si>
    <t>Consultar saldo  (MOD-07 → MOD-08)</t>
  </si>
  <si>
    <t>Solicita: Cartera.Application / Service
Provee: Usuarios.API → Usuarios.Application / Service → Usuarios.Domain → Usuarios.Repository → Usuarios.BaseDeDatos</t>
  </si>
  <si>
    <t>Reservar recurso  (MOD-07 → MOD-09)</t>
  </si>
  <si>
    <t>Solicita: Cartera.Application / Service
Provee: CostosInsumos.API → CostosInsumos.Application / Service → CostosInsumos.Domain → CostosInsumos.Repository → CostosInsumos.BaseDeDatos</t>
  </si>
  <si>
    <t>Liberar recurso  (MOD-07 → MOD-10)</t>
  </si>
  <si>
    <t>Solicita: Cartera.Application / Service
Provee: Parametrizacion.API → Parametrizacion.Application / Service → Parametrizacion.Domain → Parametrizacion.Repository → Parametrizacion.BaseDeDatos</t>
  </si>
  <si>
    <t>Notificar evento  (MOD-07 → MOD-07)</t>
  </si>
  <si>
    <t>Solicita: Cartera.Application / Service
Provee: Cartera.API → Cartera.Application / Service → Cartera.Domain → Cartera.Repository → Cartera.BaseDeDatos</t>
  </si>
  <si>
    <t>/api/v1/cartera/eventos</t>
  </si>
  <si>
    <t>Consultar información  (MOD-08 → MOD-01)</t>
  </si>
  <si>
    <t>Solicita: Usuarios.Application / Service
Provee: Pedidos.API → Pedidos.Application / Service → Pedidos.Domain → Pedidos.Repository → Pedidos.BaseDeDatos</t>
  </si>
  <si>
    <t>Validar disponibilidad  (MOD-08 → MOD-02)</t>
  </si>
  <si>
    <t>Solicita: Usuarios.Application / Service
Provee: Inventario.API → Inventario.Application / Service → Inventario.Domain → Inventario.Repository → Inventario.BaseDeDatos</t>
  </si>
  <si>
    <t>Registrar operación  (MOD-08 → MOD-03)</t>
  </si>
  <si>
    <t>Solicita: Usuarios.Application / Service
Provee: Produccion.API → Produccion.Application / Service → Produccion.Domain → Produccion.Repository → Produccion.BaseDeDatos</t>
  </si>
  <si>
    <t>Actualizar estado  (MOD-08 → MOD-04)</t>
  </si>
  <si>
    <t>Solicita: Usuarios.Application / Service
Provee: POS.API → POS.Application / Service → POS.Domain → POS.Repository → POS.BaseDeDatos</t>
  </si>
  <si>
    <t>Consultar catálogo  (MOD-08 → MOD-05)</t>
  </si>
  <si>
    <t>Solicita: Usuarios.Application / Service
Provee: Nomina.API → Nomina.Application / Service → Nomina.Domain → Nomina.Repository → Nomina.BaseDeDatos</t>
  </si>
  <si>
    <t>Confirmar operación  (MOD-08 → MOD-06)</t>
  </si>
  <si>
    <t>Solicita: Usuarios.Application / Service
Provee: PedidosMayoristas.API → PedidosMayoristas.Application / Service → PedidosMayoristas.Domain → PedidosMayoristas.Repository → PedidosMayoristas.BaseDeDatos</t>
  </si>
  <si>
    <t>Consultar saldo  (MOD-08 → MOD-07)</t>
  </si>
  <si>
    <t>Solicita: Usuarios.Application / Service
Provee: Cartera.API → Cartera.Application / Service → Cartera.Domain → Cartera.Repository → Cartera.BaseDeDatos</t>
  </si>
  <si>
    <t>/api/v1/cartera/saldos/{id}</t>
  </si>
  <si>
    <t>Reservar recurso  (MOD-08 → MOD-09)</t>
  </si>
  <si>
    <t>Solicita: Usuarios.Application / Service
Provee: CostosInsumos.API → CostosInsumos.Application / Service → CostosInsumos.Domain → CostosInsumos.Repository → CostosInsumos.BaseDeDatos</t>
  </si>
  <si>
    <t>Liberar recurso  (MOD-08 → MOD-10)</t>
  </si>
  <si>
    <t>Solicita: Usuarios.Application / Service
Provee: Parametrizacion.API → Parametrizacion.Application / Service → Parametrizacion.Domain → Parametrizacion.Repository → Parametrizacion.BaseDeDatos</t>
  </si>
  <si>
    <t>Notificar evento  (MOD-08 → MOD-08)</t>
  </si>
  <si>
    <t>Solicita: Usuarios.Application / Service
Provee: Usuarios.API → Usuarios.Application / Service → Usuarios.Domain → Usuarios.Repository → Usuarios.BaseDeDatos</t>
  </si>
  <si>
    <t>/api/v1/usuarios/eventos</t>
  </si>
  <si>
    <t>Consultar información  (MOD-09 → MOD-01)</t>
  </si>
  <si>
    <t>Solicita: CostosInsumos.Application / Service
Provee: Pedidos.API → Pedidos.Application / Service → Pedidos.Domain → Pedidos.Repository → Pedidos.BaseDeDatos</t>
  </si>
  <si>
    <t>Validar disponibilidad  (MOD-09 → MOD-02)</t>
  </si>
  <si>
    <t>Solicita: CostosInsumos.Application / Service
Provee: Inventario.API → Inventario.Application / Service → Inventario.Domain → Inventario.Repository → Inventario.BaseDeDatos</t>
  </si>
  <si>
    <t>Registrar operación  (MOD-09 → MOD-03)</t>
  </si>
  <si>
    <t>Solicita: CostosInsumos.Application / Service
Provee: Produccion.API → Produccion.Application / Service → Produccion.Domain → Produccion.Repository → Produccion.BaseDeDatos</t>
  </si>
  <si>
    <t>Actualizar estado  (MOD-09 → MOD-04)</t>
  </si>
  <si>
    <t>Solicita: CostosInsumos.Application / Service
Provee: POS.API → POS.Application / Service → POS.Domain → POS.Repository → POS.BaseDeDatos</t>
  </si>
  <si>
    <t>Consultar catálogo  (MOD-09 → MOD-05)</t>
  </si>
  <si>
    <t>Solicita: CostosInsumos.Application / Service
Provee: Nomina.API → Nomina.Application / Service → Nomina.Domain → Nomina.Repository → Nomina.BaseDeDatos</t>
  </si>
  <si>
    <t>Confirmar operación  (MOD-09 → MOD-06)</t>
  </si>
  <si>
    <t>Solicita: CostosInsumos.Application / Service
Provee: PedidosMayoristas.API → PedidosMayoristas.Application / Service → PedidosMayoristas.Domain → PedidosMayoristas.Repository → PedidosMayoristas.BaseDeDatos</t>
  </si>
  <si>
    <t>Consultar saldo  (MOD-09 → MOD-07)</t>
  </si>
  <si>
    <t>Solicita: CostosInsumos.Application / Service
Provee: Cartera.API → Cartera.Application / Service → Cartera.Domain → Cartera.Repository → Cartera.BaseDeDatos</t>
  </si>
  <si>
    <t>Reservar recurso  (MOD-09 → MOD-08)</t>
  </si>
  <si>
    <t>Solicita: CostosInsumos.Application / Service
Provee: Usuarios.API → Usuarios.Application / Service → Usuarios.Domain → Usuarios.Repository → Usuarios.BaseDeDatos</t>
  </si>
  <si>
    <t>/api/v1/usuarios/reservas</t>
  </si>
  <si>
    <t>Liberar recurso  (MOD-09 → MOD-10)</t>
  </si>
  <si>
    <t>Solicita: CostosInsumos.Application / Service
Provee: Parametrizacion.API → Parametrizacion.Application / Service → Parametrizacion.Domain → Parametrizacion.Repository → Parametrizacion.BaseDeDatos</t>
  </si>
  <si>
    <t>Notificar evento  (MOD-09 → MOD-09)</t>
  </si>
  <si>
    <t>Solicita: CostosInsumos.Application / Service
Provee: CostosInsumos.API → CostosInsumos.Application / Service → CostosInsumos.Domain → CostosInsumos.Repository → CostosInsumos.BaseDeDatos</t>
  </si>
  <si>
    <t>/api/v1/costos-insumos/eventos</t>
  </si>
  <si>
    <t>Consultar información  (MOD-10 → MOD-01)</t>
  </si>
  <si>
    <t>Solicita: Parametrizacion.Application / Service
Provee: Pedidos.API → Pedidos.Application / Service → Pedidos.Domain → Pedidos.Repository → Pedidos.BaseDeDatos</t>
  </si>
  <si>
    <t>Validar disponibilidad  (MOD-10 → MOD-02)</t>
  </si>
  <si>
    <t>Solicita: Parametrizacion.Application / Service
Provee: Inventario.API → Inventario.Application / Service → Inventario.Domain → Inventario.Repository → Inventario.BaseDeDatos</t>
  </si>
  <si>
    <t>Registrar operación  (MOD-10 → MOD-03)</t>
  </si>
  <si>
    <t>Solicita: Parametrizacion.Application / Service
Provee: Produccion.API → Produccion.Application / Service → Produccion.Domain → Produccion.Repository → Produccion.BaseDeDatos</t>
  </si>
  <si>
    <t>Actualizar estado  (MOD-10 → MOD-04)</t>
  </si>
  <si>
    <t>Solicita: Parametrizacion.Application / Service
Provee: POS.API → POS.Application / Service → POS.Domain → POS.Repository → POS.BaseDeDatos</t>
  </si>
  <si>
    <t>Consultar catálogo  (MOD-10 → MOD-05)</t>
  </si>
  <si>
    <t>Solicita: Parametrizacion.Application / Service
Provee: Nomina.API → Nomina.Application / Service → Nomina.Domain → Nomina.Repository → Nomina.BaseDeDatos</t>
  </si>
  <si>
    <t>Confirmar operación  (MOD-10 → MOD-06)</t>
  </si>
  <si>
    <t>Solicita: Parametrizacion.Application / Service
Provee: PedidosMayoristas.API → PedidosMayoristas.Application / Service → PedidosMayoristas.Domain → PedidosMayoristas.Repository → PedidosMayoristas.BaseDeDatos</t>
  </si>
  <si>
    <t>Consultar saldo  (MOD-10 → MOD-07)</t>
  </si>
  <si>
    <t>Solicita: Parametrizacion.Application / Service
Provee: Cartera.API → Cartera.Application / Service → Cartera.Domain → Cartera.Repository → Cartera.BaseDeDatos</t>
  </si>
  <si>
    <t>Reservar recurso  (MOD-10 → MOD-08)</t>
  </si>
  <si>
    <t>Solicita: Parametrizacion.Application / Service
Provee: Usuarios.API → Usuarios.Application / Service → Usuarios.Domain → Usuarios.Repository → Usuarios.BaseDeDatos</t>
  </si>
  <si>
    <t>Liberar recurso  (MOD-10 → MOD-09)</t>
  </si>
  <si>
    <t>Solicita: Parametrizacion.Application / Service
Provee: CostosInsumos.API → CostosInsumos.Application / Service → CostosInsumos.Domain → CostosInsumos.Repository → CostosInsumos.BaseDeDatos</t>
  </si>
  <si>
    <t>/api/v1/costos-insumos/reservas/{referencia}</t>
  </si>
  <si>
    <t>Notificar evento  (MOD-10 → MOD-10)</t>
  </si>
  <si>
    <t>Solicita: Parametrizacion.Application / Service
Provee: Parametrizacion.API → Parametrizacion.Application / Service → Parametrizacion.Domain → Parametrizacion.Repository → Parametrizacion.BaseDeDatos</t>
  </si>
  <si>
    <t>/api/v1/parametrizacion/eventos</t>
  </si>
  <si>
    <t>API Clientes – Consultar cliente</t>
  </si>
  <si>
    <t>Consumidor externo: Web / vendedores
Pedidos.API → Pedidos.Application / Service → Pedidos.Domain → Pedidos.Repository → Pedidos.BaseDeDatos</t>
  </si>
  <si>
    <t>/api/v1/clientes/{id}</t>
  </si>
  <si>
    <t>Ruta: id (string, obligatorio)</t>
  </si>
  <si>
    <t>API Clientes – Buscar clientes</t>
  </si>
  <si>
    <t>/api/v1/clientes</t>
  </si>
  <si>
    <t>Query: documento (string, opcional), nombre (string, opcional), pagina (integer, opcional)</t>
  </si>
  <si>
    <t>API Clientes – Registrar cliente</t>
  </si>
  <si>
    <t>Body: tipoDocumento (string), documento (string), nombre (string), correo (string), telefono (string)</t>
  </si>
  <si>
    <t>API Clientes – Actualizar cliente</t>
  </si>
  <si>
    <t>Ruta: id (string, obligatorio)
Body: nombre (string), correo (string), telefono (string)</t>
  </si>
  <si>
    <t>API Clientes – Registrar dirección</t>
  </si>
  <si>
    <t>/api/v1/clientes/{id}/direcciones</t>
  </si>
  <si>
    <t>Ruta: id (string, obligatorio)
Body: pais (string), departamento (string), ciudad (string), direccion (string), principal (boolean)</t>
  </si>
  <si>
    <t>API Clientes – Eliminar dirección</t>
  </si>
  <si>
    <t>/api/v1/clientes/{id}/direcciones/{direccionId}</t>
  </si>
  <si>
    <t>Ruta: id (string, obligatorio), direccionId (string, obligatorio)</t>
  </si>
  <si>
    <t>API Créditos – Consultar cupo</t>
  </si>
  <si>
    <t>Consumidor externo: Gestión de Pedidos Mayoristas
Cartera.API → Cartera.Application / Service → Cartera.Domain → Cartera.Repository → Cartera.BaseDeDatos</t>
  </si>
  <si>
    <t>/api/v1/creditos/{clienteId}/cupo</t>
  </si>
  <si>
    <t>Ruta: clienteId (string, obligatorio)</t>
  </si>
  <si>
    <t>API Créditos – Consultar estado de crédito</t>
  </si>
  <si>
    <t>/api/v1/creditos/{clienteId}/estado</t>
  </si>
  <si>
    <t>API Créditos – Consultar restricciones</t>
  </si>
  <si>
    <t>/api/v1/creditos/{clienteId}/restricciones</t>
  </si>
  <si>
    <t>API Pagos – Registrar pago</t>
  </si>
  <si>
    <t>Consumidor externo: Web / POS
POS.API → POS.Application / Service → POS.Domain → POS.Repository → POS.BaseDeDatos</t>
  </si>
  <si>
    <t>/api/v1/pagos</t>
  </si>
  <si>
    <t>Body: referencia (string), monto (number), moneda (string), medioPago (string)</t>
  </si>
  <si>
    <t>API Pagos – Consultar resultado de pago</t>
  </si>
  <si>
    <t>/api/v1/pagos/{id}</t>
  </si>
  <si>
    <t>API Pagos – Confirmar pago (webhook)</t>
  </si>
  <si>
    <t>/api/v1/pagos/confirmaciones</t>
  </si>
  <si>
    <t>Body: pagoId (string), estado (string), firma (string)</t>
  </si>
  <si>
    <t>API Productos – Listar catálogo</t>
  </si>
  <si>
    <t>Consumidor externo: Web / POS / Mayoristas
Inventario.API → Inventario.Application / Service → Inventario.Domain → Inventario.Repository → Inventario.BaseDeDatos</t>
  </si>
  <si>
    <t>/api/v1/productos</t>
  </si>
  <si>
    <t>Query: categoria (string, opcional), coleccion (string, opcional), pagina (integer, opcional)</t>
  </si>
  <si>
    <t>API Productos – Consultar producto</t>
  </si>
  <si>
    <t>/api/v1/productos/{id}</t>
  </si>
  <si>
    <t>API Productos – Consultar variantes</t>
  </si>
  <si>
    <t>/api/v1/productos/{id}/variantes</t>
  </si>
  <si>
    <t>API Productos – Consultar precios</t>
  </si>
  <si>
    <t>/api/v1/productos/{id}/precios</t>
  </si>
  <si>
    <t>Ruta: id (string, obligatorio)
Query: canal (string, obligatorio)</t>
  </si>
  <si>
    <t>API Productos – Consultar disponibilidad</t>
  </si>
  <si>
    <t>/api/v1/productos/{id}/disponibilidad</t>
  </si>
  <si>
    <t>Ruta: id (string, obligatorio)
Query: talla (string, opcional), color (string, opcional)</t>
  </si>
  <si>
    <t>API Facturación – Transmitir factura electrónica</t>
  </si>
  <si>
    <t>Consumidor externo: POS / pedidos
POS.API → POS.Application / Service → POS.Domain → POS.Repository → POS.BaseDeDatos</t>
  </si>
  <si>
    <t>/api/v1/facturas</t>
  </si>
  <si>
    <t>Body: referencia (string), cliente (object), items (array), total (number), moneda (string)</t>
  </si>
  <si>
    <t>API Facturación – Consultar factura</t>
  </si>
  <si>
    <t>/api/v1/facturas/{id}</t>
  </si>
  <si>
    <t>API Facturación – Consultar estado de factura</t>
  </si>
  <si>
    <t>/api/v1/facturas/{id}/estado</t>
  </si>
  <si>
    <t>API WhatsApp – Enviar mensaje WhatsApp</t>
  </si>
  <si>
    <t>Consumidor externo: Vendedores
Pedidos.API → Pedidos.Application / Service → Pedidos.Domain → Pedidos.Repository → Pedidos.BaseDeDatos</t>
  </si>
  <si>
    <t>/api/v1/whatsapp/mensajes</t>
  </si>
  <si>
    <t>Body: telefono (string), tipo (string), contenido (string)</t>
  </si>
  <si>
    <t>API WhatsApp – Recibir mensaje (webhook)</t>
  </si>
  <si>
    <t>/api/v1/whatsapp/webhook</t>
  </si>
  <si>
    <t>Body: mensajeId (string), telefono (string), contenido (string), fecha (datetime)</t>
  </si>
  <si>
    <t>API WhatsApp – Registrar pedido por WhatsApp</t>
  </si>
  <si>
    <t>/api/v1/whatsapp/pedidos</t>
  </si>
  <si>
    <t>Body: clienteId (string), vendedorId (string), items (array), mensajeOrigen (string)</t>
  </si>
  <si>
    <t>API Transporte – Generar guía</t>
  </si>
  <si>
    <t>Consumidor externo: Despachos
Pedidos.API → Pedidos.Application / Service → Pedidos.Domain → Pedidos.Repository → Pedidos.BaseDeDatos
PedidosMayoristas.API → PedidosMayoristas.Application / Service → PedidosMayoristas.Domain → PedidosMayoristas.Repository → PedidosMayoristas.BaseDeDatos</t>
  </si>
  <si>
    <t>/api/v1/transporte/guias</t>
  </si>
  <si>
    <t>Body: pedidoId (string), destinatario (object), peso (number), valorDeclarado (number)</t>
  </si>
  <si>
    <t>API Transporte – Consultar estado de entrega</t>
  </si>
  <si>
    <t>/api/v1/transporte/guias/{numeroGuia}/estado</t>
  </si>
  <si>
    <t>Ruta: numeroGuia (string, obligatorio)</t>
  </si>
  <si>
    <t>API Transporte – Cancelar guía</t>
  </si>
  <si>
    <t>/api/v1/transporte/guias/{numeroGuia}</t>
  </si>
  <si>
    <t>Ruta: numeroGuia (string, obligatorio)
Query: motivo (string, obligatorio)</t>
  </si>
  <si>
    <t>API Nómina – Consultar comisiones</t>
  </si>
  <si>
    <t>Consumidor externo: Administración
Nomina.API → Nomina.Application / Service → Nomina.Domain → Nomina.Repository → Nomina.BaseDeDatos</t>
  </si>
  <si>
    <t>/api/v1/nomina/empleados/{id}/comisiones</t>
  </si>
  <si>
    <t>Ruta: id (string, obligatorio)
Query: periodo (string, obligatorio)</t>
  </si>
  <si>
    <t>API Nómina – Registrar novedad</t>
  </si>
  <si>
    <t>/api/v1/nomina/novedades</t>
  </si>
  <si>
    <t>Body: empleadoId (string), tipo (string), valor (number), periodo (string)</t>
  </si>
  <si>
    <t>API Nómina – Actualizar novedad</t>
  </si>
  <si>
    <t>/api/v1/nomina/novedades/{id}</t>
  </si>
  <si>
    <t>Ruta: id (string, obligatorio)
Body: tipo (string), valor (number)</t>
  </si>
  <si>
    <t>API Nómina – Generar liquidación</t>
  </si>
  <si>
    <t>/api/v1/nomina/liquidaciones</t>
  </si>
  <si>
    <t>Body: periodo (string), empleados (array)</t>
  </si>
  <si>
    <t>API Nómina – Consultar liquidación</t>
  </si>
  <si>
    <t>/api/v1/nomina/liquidaciones/{id}</t>
  </si>
  <si>
    <t>Estructura JSON de solicitud (cuerpo) y respuesta – APIs internas y externas</t>
  </si>
  <si>
    <t>Los valores son ejemplos. Las APIs internas comparten 10 plantillas (una por tipo de comunicación); las externas tienen una fila por endpoint.</t>
  </si>
  <si>
    <t>Estructura de error común (4xx / 5xx):</t>
  </si>
  <si>
    <t>{
  "codigo": "RECURSO_NO_ENCONTRADO",
  "mensaje": "No existe el recurso solicitado",
  "detalle": [
    {
      "campo": "id",
      "error": "valor inexistente"
    }
  ],
  "timestamp": "2026-09-29T10:15:00Z",
  "traceId": "c1a2b3d4"
}</t>
  </si>
  <si>
    <t>Plantilla / API</t>
  </si>
  <si>
    <t>Método y endpoint</t>
  </si>
  <si>
    <t>Cuerpo de la solicitud (request)</t>
  </si>
  <si>
    <t>Cuerpo de la respuesta (response)</t>
  </si>
  <si>
    <t>Código éxito</t>
  </si>
  <si>
    <t>Errores posibles</t>
  </si>
  <si>
    <t>API-INT tipo 1
(nº 001, 011, 021, 031, 041, 051, 061, 071, 081, 091)</t>
  </si>
  <si>
    <t>GET /api/v1/{modulo}/consultas</t>
  </si>
  <si>
    <t>Sin cuerpo (parámetros en ruta/query)</t>
  </si>
  <si>
    <t>{
  "id": "PED-000123",
  "criterio": "estado",
  "datos": [
    {
      "campo": "estado",
      "valor": "CONFIRMADO",
      "vigente": true
    }
  ],
  "consultadoEn": "2026-09-29T10:15:00Z"
}</t>
  </si>
  <si>
    <t>400, 401, 404, 500</t>
  </si>
  <si>
    <t>API-INT tipo 2
(nº 002, 012, 022, 032, 042, 052, 062, 072, 082, 092)</t>
  </si>
  <si>
    <t>GET /api/v1/{modulo}/disponibilidad</t>
  </si>
  <si>
    <t>{
  "id": "SKU-CAM-001-M",
  "cantidadSolicitada": 5,
  "disponible": true,
  "cantidadDisponible": 42,
  "estado": "ACTIVO",
  "resultado": "APROBADO"
}</t>
  </si>
  <si>
    <t>API-INT tipo 3
(nº 003, 013, 023, 033, 043, 053, 063, 073, 083, 093)</t>
  </si>
  <si>
    <t>POST /api/v1/{modulo}/operaciones</t>
  </si>
  <si>
    <t>{
  "tipo": "VENTA_POS",
  "referencia": "FAC-000456",
  "usuario": "vendedor01",
  "fecha": "2026-09-29T10:15:00Z",
  "datos": {
    "total": 250000,
    "moneda": "COP"
  }
}</t>
  </si>
  <si>
    <t>{
  "id": "OP-000789",
  "referencia": "FAC-000456",
  "estado": "REGISTRADA",
  "fechaRegistro": "2026-09-29T10:15:02Z"
}</t>
  </si>
  <si>
    <t>400, 401, 409, 422, 500</t>
  </si>
  <si>
    <t>API-INT tipo 4
(nº 004, 014, 024, 034, 044, 054, 064, 074, 084, 094)</t>
  </si>
  <si>
    <t>PUT /api/v1/{modulo}/operaciones/{id}/estado</t>
  </si>
  <si>
    <t>{
  "estadoAnterior": "PAGADO",
  "estadoNuevo": "EN_PREPARACION",
  "motivo": "Pedido enviado a bodega"
}</t>
  </si>
  <si>
    <t>{
  "id": "PED-000123",
  "estado": "EN_PREPARACION",
  "actualizadoEn": "2026-09-29T10:20:00Z"
}</t>
  </si>
  <si>
    <t>400, 401, 404, 409, 422, 500</t>
  </si>
  <si>
    <t>API-INT tipo 5
(nº 005, 015, 025, 035, 045, 055, 065, 075, 085, 095)</t>
  </si>
  <si>
    <t>GET /api/v1/{modulo}/catalogos/{tipo}</t>
  </si>
  <si>
    <t>{
  "tipo": "TIPO_DOCUMENTO",
  "items": [
    {
      "codigo": "CC",
      "descripcion": "Cédula de ciudadanía",
      "atributos": {
        "longitudMax": 10
      },
      "vigente": true,
      "vigenciaDesde": "2020-01-01"
    }
  ]
}</t>
  </si>
  <si>
    <t>API-INT tipo 6
(nº 006, 016, 026, 036, 046, 056, 066, 076, 086, 096)</t>
  </si>
  <si>
    <t>PUT /api/v1/{modulo}/operaciones/{id}/confirmacion</t>
  </si>
  <si>
    <t>{
  "resultado": "EXITOSO",
  "fecha": "2026-09-29T10:25:00Z"
}</t>
  </si>
  <si>
    <t>{
  "id": "OP-000789",
  "confirmada": true,
  "resultado": "EXITOSO",
  "fecha": "2026-09-29T10:25:00Z"
}</t>
  </si>
  <si>
    <t>400, 401, 404, 409, 500</t>
  </si>
  <si>
    <t>API-INT tipo 7
(nº 007, 017, 027, 037, 047, 057, 067, 077, 087, 097)</t>
  </si>
  <si>
    <t>GET /api/v1/{modulo}/saldos/{id}</t>
  </si>
  <si>
    <t>{
  "id": "CLI-0045",
  "saldo": 1500000,
  "cupo": 5000000,
  "moneda": "COP",
  "fechaConsulta": "2026-09-29T10:30:00Z"
}</t>
  </si>
  <si>
    <t>API-INT tipo 8
(nº 008, 018, 028, 038, 048, 058, 068, 078, 088, 098)</t>
  </si>
  <si>
    <t>POST /api/v1/{modulo}/reservas</t>
  </si>
  <si>
    <t>{
  "recurso": "SKU-CAM-001-M",
  "cantidad": 5,
  "referencia": "PED-000123",
  "vigencia": "2026-09-29T11:15:00Z"
}</t>
  </si>
  <si>
    <t>{
  "reservaId": "RES-000001",
  "estado": "RESERVADA",
  "vigenteHasta": "2026-09-29T11:15:00Z"
}</t>
  </si>
  <si>
    <t>API-INT tipo 9
(nº 009, 019, 029, 039, 049, 059, 069, 079, 089, 099)</t>
  </si>
  <si>
    <t>DELETE /api/v1/{modulo}/reservas/{referencia}</t>
  </si>
  <si>
    <t>Sin cuerpo (204 No Content)</t>
  </si>
  <si>
    <t>API-INT tipo 10
(nº 010, 020, 030, 040, 050, 060, 070, 080, 090, 100)</t>
  </si>
  <si>
    <t>POST /api/v1/{modulo}/eventos</t>
  </si>
  <si>
    <t>{
  "tipoEvento": "PEDIDO_CONFIRMADO",
  "referencia": "PED-000123",
  "estado": "CONFIRMADO",
  "marcaTiempo": "2026-09-29T10:35:00Z"
}</t>
  </si>
  <si>
    <t>{
  "eventoId": "EVT-000001",
  "estado": "ENCOLADO"
}</t>
  </si>
  <si>
    <t>400, 401, 422, 500</t>
  </si>
  <si>
    <t>GET /api/v1/clientes/{id}</t>
  </si>
  <si>
    <t>{
  "id": "CLI-0045",
  "tipoDocumento": "CC",
  "documento": "1098765432",
  "nombre": "María Pérez",
  "correo": "maria@correo.com",
  "telefono": "3001234567",
  "direcciones": [
    {
      "id": "DIR-01",
      "ciudad": "Bucaramanga",
      "direccion": "Cra 27 # 45-10"
    }
  ]
}</t>
  </si>
  <si>
    <t>401, 404, 500</t>
  </si>
  <si>
    <t>GET /api/v1/clientes</t>
  </si>
  <si>
    <t>{
  "pagina": 1,
  "total": 1,
  "items": [
    {
      "id": "CLI-0045",
      "nombre": "María Pérez",
      "documento": "1098765432"
    }
  ]
}</t>
  </si>
  <si>
    <t>400, 401, 500</t>
  </si>
  <si>
    <t>POST /api/v1/clientes</t>
  </si>
  <si>
    <t>{
  "tipoDocumento": "CC",
  "documento": "1098765432",
  "nombre": "María Pérez",
  "correo": "maria@correo.com",
  "telefono": "3001234567"
}</t>
  </si>
  <si>
    <t>{
  "id": "CLI-0045",
  "estado": "ACTIVO",
  "creadoEn": "2026-09-29T10:00:00Z"
}</t>
  </si>
  <si>
    <t>PUT /api/v1/clientes/{id}</t>
  </si>
  <si>
    <t>{
  "nombre": "María Pérez G.",
  "correo": "maria@correo.com",
  "telefono": "3001234567"
}</t>
  </si>
  <si>
    <t>{
  "id": "CLI-0045",
  "actualizadoEn": "2026-09-29T10:05:00Z"
}</t>
  </si>
  <si>
    <t>400, 401, 404, 422, 500</t>
  </si>
  <si>
    <t>POST /api/v1/clientes/{id}/direcciones</t>
  </si>
  <si>
    <t>{
  "pais": "CO",
  "departamento": "Santander",
  "ciudad": "Bucaramanga",
  "direccion": "Cra 27 # 45-10",
  "principal": true
}</t>
  </si>
  <si>
    <t>{
  "direccionId": "DIR-02",
  "clienteId": "CLI-0045"
}</t>
  </si>
  <si>
    <t>DELETE /api/v1/clientes/{id}/direcciones/{direccionId}</t>
  </si>
  <si>
    <t>401, 404, 409, 500</t>
  </si>
  <si>
    <t>GET /api/v1/creditos/{clienteId}/cupo</t>
  </si>
  <si>
    <t>{
  "clienteId": "CLI-0100",
  "cupoAprobado": 10000000,
  "cupoUtilizado": 3500000,
  "cupoDisponible": 6500000,
  "moneda": "COP"
}</t>
  </si>
  <si>
    <t>GET /api/v1/creditos/{clienteId}/estado</t>
  </si>
  <si>
    <t>{
  "clienteId": "CLI-0100",
  "estado": "AL_DIA",
  "diasMora": 0,
  "ultimaActualizacion": "2026-09-29T08:00:00Z"
}</t>
  </si>
  <si>
    <t>GET /api/v1/creditos/{clienteId}/restricciones</t>
  </si>
  <si>
    <t>{
  "clienteId": "CLI-0100",
  "restricciones": [
    {
      "codigo": "BLOQ_PEDIDO",
      "descripcion": "Bloqueo por mora",
      "activa": false
    }
  ]
}</t>
  </si>
  <si>
    <t>POST /api/v1/pagos</t>
  </si>
  <si>
    <t>{
  "referencia": "PED-000123",
  "monto": 250000,
  "moneda": "COP",
  "medioPago": "TARJETA"
}</t>
  </si>
  <si>
    <t>{
  "pagoId": "PAG-000321",
  "estado": "PENDIENTE",
  "referencia": "PED-000123"
}</t>
  </si>
  <si>
    <t>GET /api/v1/pagos/{id}</t>
  </si>
  <si>
    <t>{
  "pagoId": "PAG-000321",
  "estado": "APROBADO",
  "monto": 250000,
  "moneda": "COP",
  "confirmadoEn": "2026-09-29T10:12:00Z"
}</t>
  </si>
  <si>
    <t>POST /api/v1/pagos/confirmaciones</t>
  </si>
  <si>
    <t>{
  "pagoId": "PAG-000321",
  "estado": "APROBADO",
  "firma": "a1b2c3..."
}</t>
  </si>
  <si>
    <t>{
  "recibido": true
}</t>
  </si>
  <si>
    <t>GET /api/v1/productos</t>
  </si>
  <si>
    <t>{
  "pagina": 1,
  "total": 120,
  "items": [
    {
      "id": "PRD-001",
      "nombre": "Camisa Oxford",
      "categoria": "Camisas",
      "coleccion": "2026-2"
    }
  ]
}</t>
  </si>
  <si>
    <t>GET /api/v1/productos/{id}</t>
  </si>
  <si>
    <t>{
  "id": "PRD-001",
  "nombre": "Camisa Oxford",
  "descripcion": "Algodón 100%",
  "categoria": "Camisas",
  "activo": true
}</t>
  </si>
  <si>
    <t>GET /api/v1/productos/{id}/variantes</t>
  </si>
  <si>
    <t>{
  "productoId": "PRD-001",
  "variantes": [
    {
      "sku": "PRD-001-M-AZ",
      "talla": "M",
      "color": "Azul"
    }
  ]
}</t>
  </si>
  <si>
    <t>GET /api/v1/productos/{id}/precios</t>
  </si>
  <si>
    <t>{
  "productoId": "PRD-001",
  "canal": "DETAL",
  "precio": 89900,
  "moneda": "COP"
}</t>
  </si>
  <si>
    <t>GET /api/v1/productos/{id}/disponibilidad</t>
  </si>
  <si>
    <t>{
  "productoId": "PRD-001",
  "disponibilidad": [
    {
      "sku": "PRD-001-M-AZ",
      "stock": 42,
      "reservado": 5
    }
  ]
}</t>
  </si>
  <si>
    <t>POST /api/v1/facturas</t>
  </si>
  <si>
    <t>{
  "referencia": "VTA-000456",
  "cliente": {
    "documento": "1098765432"
  },
  "items": [
    {
      "sku": "PRD-001-M-AZ",
      "cantidad": 2,
      "precio": 89900
    }
  ],
  "total": 179800,
  "moneda": "COP"
}</t>
  </si>
  <si>
    <t>{
  "facturaId": "FE-000456",
  "estado": "EN_PROCESO"
}</t>
  </si>
  <si>
    <t>GET /api/v1/facturas/{id}</t>
  </si>
  <si>
    <t>{
  "facturaId": "FE-000456",
  "numero": "FE-000456",
  "total": 179800,
  "cufe": "abc123...",
  "estado": "ACEPTADA"
}</t>
  </si>
  <si>
    <t>GET /api/v1/facturas/{id}/estado</t>
  </si>
  <si>
    <t>{
  "facturaId": "FE-000456",
  "estado": "ACEPTADA",
  "actualizadoEn": "2026-09-29T10:40:00Z"
}</t>
  </si>
  <si>
    <t>POST /api/v1/whatsapp/mensajes</t>
  </si>
  <si>
    <t>{
  "telefono": "573001234567",
  "tipo": "TEXTO",
  "contenido": "Tu pedido PED-000123 fue confirmado."
}</t>
  </si>
  <si>
    <t>{
  "mensajeId": "MSG-0001",
  "estado": "ENVIADO"
}</t>
  </si>
  <si>
    <t>POST /api/v1/whatsapp/webhook</t>
  </si>
  <si>
    <t>{
  "mensajeId": "MSG-0002",
  "telefono": "573001234567",
  "contenido": "Quiero 2 camisas talla M",
  "fecha": "2026-09-29T10:45:00Z"
}</t>
  </si>
  <si>
    <t>POST /api/v1/whatsapp/pedidos</t>
  </si>
  <si>
    <t>{
  "clienteId": "CLI-0045",
  "vendedorId": "USR-010",
  "items": [
    {
      "sku": "PRD-001-M-AZ",
      "cantidad": 2
    }
  ],
  "mensajeOrigen": "MSG-0002"
}</t>
  </si>
  <si>
    <t>{
  "pedidoId": "PED-000124",
  "estado": "REGISTRADO",
  "canal": "WHATSAPP"
}</t>
  </si>
  <si>
    <t>POST /api/v1/transporte/guias</t>
  </si>
  <si>
    <t>{
  "pedidoId": "PED-000123",
  "destinatario": {
    "nombre": "María Pérez",
    "direccion": "Cra 27 # 45-10",
    "ciudad": "Bucaramanga"
  },
  "peso": 1.2,
  "valorDeclarado": 250000
}</t>
  </si>
  <si>
    <t>{
  "numeroGuia": "GU-778899",
  "transportadora": "Transportadora X",
  "estado": "GENERADA"
}</t>
  </si>
  <si>
    <t>GET /api/v1/transporte/guias/{numeroGuia}/estado</t>
  </si>
  <si>
    <t>{
  "numeroGuia": "GU-778899",
  "estado": "EN_TRANSITO",
  "ultimaNovedad": "Salió de bodega",
  "actualizadoEn": "2026-09-29T14:00:00Z"
}</t>
  </si>
  <si>
    <t>DELETE /api/v1/transporte/guias/{numeroGuia}</t>
  </si>
  <si>
    <t>GET /api/v1/nomina/empleados/{id}/comisiones</t>
  </si>
  <si>
    <t>{
  "empleadoId": "EMP-010",
  "periodo": "2026-09",
  "ventas": 15000000,
  "comision": 450000,
  "moneda": "COP"
}</t>
  </si>
  <si>
    <t>POST /api/v1/nomina/novedades</t>
  </si>
  <si>
    <t>{
  "empleadoId": "EMP-010",
  "tipo": "HORAS_EXTRA",
  "valor": 8,
  "periodo": "2026-09"
}</t>
  </si>
  <si>
    <t>{
  "novedadId": "NOV-0001",
  "estado": "REGISTRADA"
}</t>
  </si>
  <si>
    <t>PUT /api/v1/nomina/novedades/{id}</t>
  </si>
  <si>
    <t>{
  "tipo": "HORAS_EXTRA",
  "valor": 10
}</t>
  </si>
  <si>
    <t>{
  "novedadId": "NOV-0001",
  "estado": "ACTUALIZADA"
}</t>
  </si>
  <si>
    <t>POST /api/v1/nomina/liquidaciones</t>
  </si>
  <si>
    <t>{
  "periodo": "2026-09",
  "empleados": [
    "EMP-010",
    "EMP-011"
  ]
}</t>
  </si>
  <si>
    <t>{
  "liquidacionId": "LIQ-202609",
  "estado": "EN_PROCESO"
}</t>
  </si>
  <si>
    <t>GET /api/v1/nomina/liquidaciones/{id}</t>
  </si>
  <si>
    <t>{
  "liquidacionId": "LIQ-202609",
  "periodo": "2026-09",
  "estado": "CALCULADA",
  "totalNomina": 38500000,
  "moneda": "COP"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</si>
</sst>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b/>
      <sz val="14"/>
      <color rgb="FF1F3864"/>
      <name val="Arial"/>
      <charset val="1"/>
    </font>
    <font>
      <i/>
      <sz val="9"/>
      <color rgb="FF595959"/>
      <name val="Arial"/>
      <charset val="1"/>
    </font>
    <font>
      <b/>
      <sz val="10"/>
      <color rgb="FFFFFFFF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sz val="9"/>
      <name val="Consolas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6FC"/>
        <bgColor rgb="FFFFFFFF"/>
      </patternFill>
    </fill>
    <fill>
      <patternFill patternType="solid">
        <fgColor rgb="FFE2EFDA"/>
        <bgColor rgb="FFDDEBF7"/>
      </patternFill>
    </fill>
    <fill>
      <patternFill patternType="solid">
        <fgColor rgb="FFDDEBF7"/>
        <bgColor rgb="FFE2EFDA"/>
      </patternFill>
    </fill>
    <fill>
      <patternFill patternType="solid">
        <fgColor rgb="FFFFF2CC"/>
        <bgColor rgb="FFE2EFDA"/>
      </patternFill>
    </fill>
    <fill>
      <patternFill patternType="solid">
        <fgColor rgb="FFF8CBAD"/>
        <b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5" fillId="0" borderId="1" xfId="0" applyFont="1" applyBorder="1" applyAlignment="1">
      <alignment horizontal="center"/>
    </xf>
    <xf numFmtId="0" fontId="5" fillId="0" borderId="0" xfId="0" applyFont="1"/>
    <xf numFmtId="0" fontId="5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vertical="top" wrapText="1"/>
    </xf>
    <xf numFmtId="0" fontId="5" fillId="3" borderId="1" xfId="0" applyFont="1" applyFill="1" applyBorder="1" applyAlignment="1">
      <alignment horizontal="center" vertical="top" wrapText="1"/>
    </xf>
    <xf numFmtId="0" fontId="5" fillId="3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horizontal="center" vertical="top" wrapText="1"/>
    </xf>
    <xf numFmtId="0" fontId="4" fillId="5" borderId="1" xfId="0" applyFont="1" applyFill="1" applyBorder="1" applyAlignment="1">
      <alignment horizontal="center" vertical="top" wrapText="1"/>
    </xf>
    <xf numFmtId="0" fontId="4" fillId="6" borderId="1" xfId="0" applyFont="1" applyFill="1" applyBorder="1" applyAlignment="1">
      <alignment horizontal="center" vertical="top" wrapText="1"/>
    </xf>
    <xf numFmtId="0" fontId="4" fillId="7" borderId="1" xfId="0" applyFont="1" applyFill="1" applyBorder="1" applyAlignment="1">
      <alignment horizontal="center" vertical="top" wrapText="1"/>
    </xf>
    <xf numFmtId="0" fontId="6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6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6FC"/>
      <rgbColor rgb="FFE2EFDA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5"/>
  <sheetViews>
    <sheetView showGridLines="0" topLeftCell="A5" zoomScaleNormal="100" workbookViewId="0">
      <selection activeCell="A2" sqref="A2"/>
    </sheetView>
  </sheetViews>
  <sheetFormatPr baseColWidth="10" defaultColWidth="8.6640625" defaultRowHeight="14.4" x14ac:dyDescent="0.3"/>
  <cols>
    <col min="1" max="1" width="46" customWidth="1"/>
    <col min="2" max="2" width="16" customWidth="1"/>
  </cols>
  <sheetData>
    <row r="1" spans="1:2" ht="17.399999999999999" x14ac:dyDescent="0.3">
      <c r="A1" s="1" t="s">
        <v>0</v>
      </c>
    </row>
    <row r="2" spans="1:2" x14ac:dyDescent="0.3">
      <c r="A2" s="2" t="s">
        <v>1</v>
      </c>
    </row>
    <row r="4" spans="1:2" x14ac:dyDescent="0.3">
      <c r="A4" s="3" t="s">
        <v>2</v>
      </c>
      <c r="B4" s="3" t="s">
        <v>3</v>
      </c>
    </row>
    <row r="5" spans="1:2" x14ac:dyDescent="0.3">
      <c r="A5" s="4" t="s">
        <v>4</v>
      </c>
      <c r="B5" s="5">
        <f>COUNTA('Inventario APIs'!A5:A112)</f>
        <v>108</v>
      </c>
    </row>
    <row r="6" spans="1:2" x14ac:dyDescent="0.3">
      <c r="A6" s="6" t="s">
        <v>5</v>
      </c>
      <c r="B6" s="5">
        <f>COUNTIF('Inventario APIs'!C5:C112,"Interna")</f>
        <v>100</v>
      </c>
    </row>
    <row r="7" spans="1:2" x14ac:dyDescent="0.3">
      <c r="A7" s="6" t="s">
        <v>6</v>
      </c>
      <c r="B7" s="5">
        <f>COUNTIF('Inventario APIs'!C5:C112,"Externa")</f>
        <v>8</v>
      </c>
    </row>
    <row r="8" spans="1:2" x14ac:dyDescent="0.3">
      <c r="A8" s="4" t="s">
        <v>7</v>
      </c>
      <c r="B8" s="5">
        <f>COUNTA('Matriz Componentes'!A5:A135)</f>
        <v>131</v>
      </c>
    </row>
    <row r="9" spans="1:2" x14ac:dyDescent="0.3">
      <c r="A9" s="6" t="s">
        <v>8</v>
      </c>
      <c r="B9" s="5">
        <f>COUNTIF('Matriz Componentes'!E5:E135,"GET")</f>
        <v>56</v>
      </c>
    </row>
    <row r="10" spans="1:2" x14ac:dyDescent="0.3">
      <c r="A10" s="6" t="s">
        <v>9</v>
      </c>
      <c r="B10" s="5">
        <f>COUNTIF('Matriz Componentes'!E5:E135,"POST")</f>
        <v>41</v>
      </c>
    </row>
    <row r="11" spans="1:2" x14ac:dyDescent="0.3">
      <c r="A11" s="6" t="s">
        <v>10</v>
      </c>
      <c r="B11" s="5">
        <f>COUNTIF('Matriz Componentes'!E5:E135,"PUT")</f>
        <v>22</v>
      </c>
    </row>
    <row r="12" spans="1:2" x14ac:dyDescent="0.3">
      <c r="A12" s="6" t="s">
        <v>11</v>
      </c>
      <c r="B12" s="5">
        <f>COUNTIF('Matriz Componentes'!E5:E135,"DELETE")</f>
        <v>12</v>
      </c>
    </row>
    <row r="13" spans="1:2" x14ac:dyDescent="0.3">
      <c r="A13" s="4" t="s">
        <v>12</v>
      </c>
      <c r="B13" s="5">
        <f>COUNTIF('Matriz Componentes'!H5:H135,"Sí")</f>
        <v>131</v>
      </c>
    </row>
    <row r="14" spans="1:2" x14ac:dyDescent="0.3">
      <c r="A14" s="4" t="s">
        <v>13</v>
      </c>
      <c r="B14" s="5">
        <f>COUNTIF('Matriz Componentes'!H5:H135,"No")</f>
        <v>0</v>
      </c>
    </row>
    <row r="16" spans="1:2" x14ac:dyDescent="0.3">
      <c r="A16" s="7" t="s">
        <v>14</v>
      </c>
    </row>
    <row r="17" spans="1:2" x14ac:dyDescent="0.3">
      <c r="A17" s="3" t="s">
        <v>15</v>
      </c>
      <c r="B17" s="3" t="s">
        <v>16</v>
      </c>
    </row>
    <row r="18" spans="1:2" x14ac:dyDescent="0.3">
      <c r="A18" s="6" t="s">
        <v>17</v>
      </c>
      <c r="B18" s="8">
        <f>COUNTIF('Inventario APIs'!D5:D112,A18)</f>
        <v>40</v>
      </c>
    </row>
    <row r="19" spans="1:2" x14ac:dyDescent="0.3">
      <c r="A19" s="6" t="s">
        <v>18</v>
      </c>
      <c r="B19" s="8">
        <f>COUNTIF('Inventario APIs'!D5:D112,A19)</f>
        <v>30</v>
      </c>
    </row>
    <row r="20" spans="1:2" x14ac:dyDescent="0.3">
      <c r="A20" s="6" t="s">
        <v>19</v>
      </c>
      <c r="B20" s="8">
        <f>COUNTIF('Inventario APIs'!D5:D112,A20)</f>
        <v>20</v>
      </c>
    </row>
    <row r="21" spans="1:2" x14ac:dyDescent="0.3">
      <c r="A21" s="6" t="s">
        <v>20</v>
      </c>
      <c r="B21" s="8">
        <f>COUNTIF('Inventario APIs'!D5:D112,A21)</f>
        <v>10</v>
      </c>
    </row>
    <row r="22" spans="1:2" x14ac:dyDescent="0.3">
      <c r="A22" s="6" t="s">
        <v>21</v>
      </c>
      <c r="B22" s="8">
        <f>COUNTIF('Inventario APIs'!D5:D112,A22)</f>
        <v>1</v>
      </c>
    </row>
    <row r="23" spans="1:2" x14ac:dyDescent="0.3">
      <c r="A23" s="6" t="s">
        <v>22</v>
      </c>
      <c r="B23" s="8">
        <f>COUNTIF('Inventario APIs'!D5:D112,A23)</f>
        <v>2</v>
      </c>
    </row>
    <row r="24" spans="1:2" x14ac:dyDescent="0.3">
      <c r="A24" s="6" t="s">
        <v>23</v>
      </c>
      <c r="B24" s="8">
        <f>COUNTIF('Inventario APIs'!D5:D112,A24)</f>
        <v>1</v>
      </c>
    </row>
    <row r="25" spans="1:2" x14ac:dyDescent="0.3">
      <c r="A25" s="6" t="s">
        <v>24</v>
      </c>
      <c r="B25" s="8">
        <f>COUNTIF('Inventario APIs'!D5:D112,A25)</f>
        <v>1</v>
      </c>
    </row>
    <row r="26" spans="1:2" x14ac:dyDescent="0.3">
      <c r="A26" s="6" t="s">
        <v>25</v>
      </c>
      <c r="B26" s="8">
        <f>COUNTIF('Inventario APIs'!D5:D112,A26)</f>
        <v>1</v>
      </c>
    </row>
    <row r="27" spans="1:2" x14ac:dyDescent="0.3">
      <c r="A27" s="6" t="s">
        <v>26</v>
      </c>
      <c r="B27" s="8">
        <f>COUNTIF('Inventario APIs'!D5:D112,A27)</f>
        <v>1</v>
      </c>
    </row>
    <row r="28" spans="1:2" x14ac:dyDescent="0.3">
      <c r="A28" s="6" t="s">
        <v>27</v>
      </c>
      <c r="B28" s="8">
        <f>COUNTIF('Inventario APIs'!D5:D112,A28)</f>
        <v>1</v>
      </c>
    </row>
    <row r="29" spans="1:2" x14ac:dyDescent="0.3">
      <c r="A29" s="4" t="s">
        <v>28</v>
      </c>
      <c r="B29" s="5">
        <f>SUM(B18:B28)</f>
        <v>108</v>
      </c>
    </row>
    <row r="31" spans="1:2" x14ac:dyDescent="0.3">
      <c r="A31" s="7" t="s">
        <v>29</v>
      </c>
    </row>
    <row r="32" spans="1:2" x14ac:dyDescent="0.3">
      <c r="A32" s="9" t="s">
        <v>30</v>
      </c>
    </row>
    <row r="33" spans="1:1" x14ac:dyDescent="0.3">
      <c r="A33" s="9" t="s">
        <v>31</v>
      </c>
    </row>
    <row r="34" spans="1:1" x14ac:dyDescent="0.3">
      <c r="A34" s="9" t="s">
        <v>32</v>
      </c>
    </row>
    <row r="35" spans="1:1" x14ac:dyDescent="0.3">
      <c r="A35" s="9" t="s">
        <v>33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12"/>
  <sheetViews>
    <sheetView showGridLines="0" tabSelected="1" zoomScale="93" zoomScaleNormal="100" workbookViewId="0">
      <pane xSplit="2" ySplit="4" topLeftCell="C12" activePane="bottomRight" state="frozen"/>
      <selection pane="topRight" activeCell="C1" sqref="C1"/>
      <selection pane="bottomLeft" activeCell="A5" sqref="A5"/>
      <selection pane="bottomRight"/>
    </sheetView>
  </sheetViews>
  <sheetFormatPr baseColWidth="10" defaultColWidth="8.6640625" defaultRowHeight="14.4" x14ac:dyDescent="0.3"/>
  <cols>
    <col min="1" max="1" width="14" customWidth="1"/>
    <col min="2" max="2" width="26" customWidth="1"/>
    <col min="3" max="3" width="10" customWidth="1"/>
    <col min="4" max="4" width="24" customWidth="1"/>
    <col min="5" max="5" width="32" customWidth="1"/>
    <col min="6" max="6" width="34" customWidth="1"/>
    <col min="7" max="7" width="52" customWidth="1"/>
    <col min="8" max="8" width="11" customWidth="1"/>
  </cols>
  <sheetData>
    <row r="1" spans="1:8" ht="17.399999999999999" x14ac:dyDescent="0.3">
      <c r="A1" s="1" t="s">
        <v>34</v>
      </c>
    </row>
    <row r="2" spans="1:8" x14ac:dyDescent="0.3">
      <c r="A2" s="2" t="s">
        <v>35</v>
      </c>
    </row>
    <row r="4" spans="1:8" ht="26.4" x14ac:dyDescent="0.3">
      <c r="A4" s="3" t="s">
        <v>36</v>
      </c>
      <c r="B4" s="3" t="s">
        <v>37</v>
      </c>
      <c r="C4" s="3" t="s">
        <v>38</v>
      </c>
      <c r="D4" s="3" t="s">
        <v>15</v>
      </c>
      <c r="E4" s="3" t="s">
        <v>39</v>
      </c>
      <c r="F4" s="3" t="s">
        <v>40</v>
      </c>
      <c r="G4" s="3" t="s">
        <v>41</v>
      </c>
      <c r="H4" s="3" t="s">
        <v>42</v>
      </c>
    </row>
    <row r="5" spans="1:8" ht="27.75" customHeight="1" x14ac:dyDescent="0.3">
      <c r="A5" s="10" t="s">
        <v>43</v>
      </c>
      <c r="B5" s="11" t="s">
        <v>44</v>
      </c>
      <c r="C5" s="10" t="s">
        <v>45</v>
      </c>
      <c r="D5" s="11" t="s">
        <v>21</v>
      </c>
      <c r="E5" s="11" t="s">
        <v>46</v>
      </c>
      <c r="F5" s="11" t="s">
        <v>47</v>
      </c>
      <c r="G5" s="11" t="s">
        <v>48</v>
      </c>
      <c r="H5" s="10">
        <f>COUNTIF('Matriz Componentes'!$A$5:$A$135,A5)</f>
        <v>6</v>
      </c>
    </row>
    <row r="6" spans="1:8" ht="15" customHeight="1" x14ac:dyDescent="0.3">
      <c r="A6" s="12" t="s">
        <v>49</v>
      </c>
      <c r="B6" s="13" t="s">
        <v>50</v>
      </c>
      <c r="C6" s="12" t="s">
        <v>45</v>
      </c>
      <c r="D6" s="13" t="s">
        <v>22</v>
      </c>
      <c r="E6" s="13" t="s">
        <v>51</v>
      </c>
      <c r="F6" s="13" t="s">
        <v>52</v>
      </c>
      <c r="G6" s="13" t="s">
        <v>53</v>
      </c>
      <c r="H6" s="12">
        <f>COUNTIF('Matriz Componentes'!$A$5:$A$135,A6)</f>
        <v>3</v>
      </c>
    </row>
    <row r="7" spans="1:8" ht="27.75" customHeight="1" x14ac:dyDescent="0.3">
      <c r="A7" s="10" t="s">
        <v>54</v>
      </c>
      <c r="B7" s="11" t="s">
        <v>55</v>
      </c>
      <c r="C7" s="10" t="s">
        <v>45</v>
      </c>
      <c r="D7" s="11" t="s">
        <v>22</v>
      </c>
      <c r="E7" s="11" t="s">
        <v>56</v>
      </c>
      <c r="F7" s="11" t="s">
        <v>57</v>
      </c>
      <c r="G7" s="11" t="s">
        <v>58</v>
      </c>
      <c r="H7" s="10">
        <f>COUNTIF('Matriz Componentes'!$A$5:$A$135,A7)</f>
        <v>3</v>
      </c>
    </row>
    <row r="8" spans="1:8" ht="27.75" customHeight="1" x14ac:dyDescent="0.3">
      <c r="A8" s="12" t="s">
        <v>59</v>
      </c>
      <c r="B8" s="13" t="s">
        <v>60</v>
      </c>
      <c r="C8" s="12" t="s">
        <v>45</v>
      </c>
      <c r="D8" s="13" t="s">
        <v>23</v>
      </c>
      <c r="E8" s="13" t="s">
        <v>61</v>
      </c>
      <c r="F8" s="13" t="s">
        <v>62</v>
      </c>
      <c r="G8" s="13" t="s">
        <v>63</v>
      </c>
      <c r="H8" s="12">
        <f>COUNTIF('Matriz Componentes'!$A$5:$A$135,A8)</f>
        <v>5</v>
      </c>
    </row>
    <row r="9" spans="1:8" ht="27.75" customHeight="1" x14ac:dyDescent="0.3">
      <c r="A9" s="10" t="s">
        <v>64</v>
      </c>
      <c r="B9" s="11" t="s">
        <v>65</v>
      </c>
      <c r="C9" s="10" t="s">
        <v>45</v>
      </c>
      <c r="D9" s="11" t="s">
        <v>24</v>
      </c>
      <c r="E9" s="11" t="s">
        <v>66</v>
      </c>
      <c r="F9" s="11" t="s">
        <v>57</v>
      </c>
      <c r="G9" s="11" t="s">
        <v>67</v>
      </c>
      <c r="H9" s="10">
        <f>COUNTIF('Matriz Componentes'!$A$5:$A$135,A9)</f>
        <v>3</v>
      </c>
    </row>
    <row r="10" spans="1:8" ht="27.75" customHeight="1" x14ac:dyDescent="0.3">
      <c r="A10" s="12" t="s">
        <v>68</v>
      </c>
      <c r="B10" s="13" t="s">
        <v>69</v>
      </c>
      <c r="C10" s="12" t="s">
        <v>45</v>
      </c>
      <c r="D10" s="13" t="s">
        <v>25</v>
      </c>
      <c r="E10" s="13" t="s">
        <v>70</v>
      </c>
      <c r="F10" s="13" t="s">
        <v>47</v>
      </c>
      <c r="G10" s="13" t="s">
        <v>71</v>
      </c>
      <c r="H10" s="12">
        <f>COUNTIF('Matriz Componentes'!$A$5:$A$135,A10)</f>
        <v>3</v>
      </c>
    </row>
    <row r="11" spans="1:8" ht="27.75" customHeight="1" x14ac:dyDescent="0.3">
      <c r="A11" s="10" t="s">
        <v>72</v>
      </c>
      <c r="B11" s="11" t="s">
        <v>73</v>
      </c>
      <c r="C11" s="10" t="s">
        <v>45</v>
      </c>
      <c r="D11" s="11" t="s">
        <v>26</v>
      </c>
      <c r="E11" s="11" t="s">
        <v>74</v>
      </c>
      <c r="F11" s="11" t="s">
        <v>75</v>
      </c>
      <c r="G11" s="11" t="s">
        <v>76</v>
      </c>
      <c r="H11" s="10">
        <f>COUNTIF('Matriz Componentes'!$A$5:$A$135,A11)</f>
        <v>3</v>
      </c>
    </row>
    <row r="12" spans="1:8" ht="27.75" customHeight="1" x14ac:dyDescent="0.3">
      <c r="A12" s="12" t="s">
        <v>77</v>
      </c>
      <c r="B12" s="13" t="s">
        <v>78</v>
      </c>
      <c r="C12" s="12" t="s">
        <v>45</v>
      </c>
      <c r="D12" s="13" t="s">
        <v>27</v>
      </c>
      <c r="E12" s="13" t="s">
        <v>79</v>
      </c>
      <c r="F12" s="13" t="s">
        <v>80</v>
      </c>
      <c r="G12" s="13" t="s">
        <v>81</v>
      </c>
      <c r="H12" s="12">
        <f>COUNTIF('Matriz Componentes'!$A$5:$A$135,A12)</f>
        <v>5</v>
      </c>
    </row>
    <row r="13" spans="1:8" ht="27.75" customHeight="1" x14ac:dyDescent="0.3">
      <c r="A13" s="10" t="s">
        <v>82</v>
      </c>
      <c r="B13" s="11" t="s">
        <v>83</v>
      </c>
      <c r="C13" s="10" t="s">
        <v>84</v>
      </c>
      <c r="D13" s="11" t="s">
        <v>17</v>
      </c>
      <c r="E13" s="11" t="s">
        <v>47</v>
      </c>
      <c r="F13" s="11" t="s">
        <v>62</v>
      </c>
      <c r="G13" s="11" t="s">
        <v>85</v>
      </c>
      <c r="H13" s="10">
        <f>COUNTIF('Matriz Componentes'!$A$5:$A$135,A13)</f>
        <v>1</v>
      </c>
    </row>
    <row r="14" spans="1:8" ht="27.75" customHeight="1" x14ac:dyDescent="0.3">
      <c r="A14" s="12" t="s">
        <v>86</v>
      </c>
      <c r="B14" s="13" t="s">
        <v>87</v>
      </c>
      <c r="C14" s="12" t="s">
        <v>84</v>
      </c>
      <c r="D14" s="13" t="s">
        <v>17</v>
      </c>
      <c r="E14" s="13" t="s">
        <v>47</v>
      </c>
      <c r="F14" s="13" t="s">
        <v>88</v>
      </c>
      <c r="G14" s="13" t="s">
        <v>89</v>
      </c>
      <c r="H14" s="12">
        <f>COUNTIF('Matriz Componentes'!$A$5:$A$135,A14)</f>
        <v>1</v>
      </c>
    </row>
    <row r="15" spans="1:8" ht="27.75" customHeight="1" x14ac:dyDescent="0.3">
      <c r="A15" s="10" t="s">
        <v>90</v>
      </c>
      <c r="B15" s="11" t="s">
        <v>91</v>
      </c>
      <c r="C15" s="10" t="s">
        <v>84</v>
      </c>
      <c r="D15" s="11" t="s">
        <v>18</v>
      </c>
      <c r="E15" s="11" t="s">
        <v>47</v>
      </c>
      <c r="F15" s="11" t="s">
        <v>57</v>
      </c>
      <c r="G15" s="11" t="s">
        <v>92</v>
      </c>
      <c r="H15" s="10">
        <f>COUNTIF('Matriz Componentes'!$A$5:$A$135,A15)</f>
        <v>1</v>
      </c>
    </row>
    <row r="16" spans="1:8" ht="27.75" customHeight="1" x14ac:dyDescent="0.3">
      <c r="A16" s="12" t="s">
        <v>93</v>
      </c>
      <c r="B16" s="13" t="s">
        <v>94</v>
      </c>
      <c r="C16" s="12" t="s">
        <v>84</v>
      </c>
      <c r="D16" s="13" t="s">
        <v>18</v>
      </c>
      <c r="E16" s="13" t="s">
        <v>47</v>
      </c>
      <c r="F16" s="13" t="s">
        <v>80</v>
      </c>
      <c r="G16" s="13" t="s">
        <v>95</v>
      </c>
      <c r="H16" s="12">
        <f>COUNTIF('Matriz Componentes'!$A$5:$A$135,A16)</f>
        <v>1</v>
      </c>
    </row>
    <row r="17" spans="1:8" ht="27.75" customHeight="1" x14ac:dyDescent="0.3">
      <c r="A17" s="10" t="s">
        <v>96</v>
      </c>
      <c r="B17" s="11" t="s">
        <v>97</v>
      </c>
      <c r="C17" s="10" t="s">
        <v>84</v>
      </c>
      <c r="D17" s="11" t="s">
        <v>17</v>
      </c>
      <c r="E17" s="11" t="s">
        <v>47</v>
      </c>
      <c r="F17" s="11" t="s">
        <v>98</v>
      </c>
      <c r="G17" s="11" t="s">
        <v>99</v>
      </c>
      <c r="H17" s="10">
        <f>COUNTIF('Matriz Componentes'!$A$5:$A$135,A17)</f>
        <v>1</v>
      </c>
    </row>
    <row r="18" spans="1:8" ht="15" customHeight="1" x14ac:dyDescent="0.3">
      <c r="A18" s="12" t="s">
        <v>100</v>
      </c>
      <c r="B18" s="13" t="s">
        <v>101</v>
      </c>
      <c r="C18" s="12" t="s">
        <v>84</v>
      </c>
      <c r="D18" s="13" t="s">
        <v>18</v>
      </c>
      <c r="E18" s="13" t="s">
        <v>47</v>
      </c>
      <c r="F18" s="13" t="s">
        <v>52</v>
      </c>
      <c r="G18" s="13" t="s">
        <v>102</v>
      </c>
      <c r="H18" s="12">
        <f>COUNTIF('Matriz Componentes'!$A$5:$A$135,A18)</f>
        <v>1</v>
      </c>
    </row>
    <row r="19" spans="1:8" ht="15" customHeight="1" x14ac:dyDescent="0.3">
      <c r="A19" s="10" t="s">
        <v>103</v>
      </c>
      <c r="B19" s="11" t="s">
        <v>104</v>
      </c>
      <c r="C19" s="10" t="s">
        <v>84</v>
      </c>
      <c r="D19" s="11" t="s">
        <v>17</v>
      </c>
      <c r="E19" s="11" t="s">
        <v>47</v>
      </c>
      <c r="F19" s="11" t="s">
        <v>105</v>
      </c>
      <c r="G19" s="11" t="s">
        <v>106</v>
      </c>
      <c r="H19" s="10">
        <f>COUNTIF('Matriz Componentes'!$A$5:$A$135,A19)</f>
        <v>1</v>
      </c>
    </row>
    <row r="20" spans="1:8" ht="15" customHeight="1" x14ac:dyDescent="0.3">
      <c r="A20" s="12" t="s">
        <v>107</v>
      </c>
      <c r="B20" s="13" t="s">
        <v>108</v>
      </c>
      <c r="C20" s="12" t="s">
        <v>84</v>
      </c>
      <c r="D20" s="13" t="s">
        <v>19</v>
      </c>
      <c r="E20" s="13" t="s">
        <v>47</v>
      </c>
      <c r="F20" s="13" t="s">
        <v>109</v>
      </c>
      <c r="G20" s="13" t="s">
        <v>110</v>
      </c>
      <c r="H20" s="12">
        <f>COUNTIF('Matriz Componentes'!$A$5:$A$135,A20)</f>
        <v>1</v>
      </c>
    </row>
    <row r="21" spans="1:8" ht="15" customHeight="1" x14ac:dyDescent="0.3">
      <c r="A21" s="10" t="s">
        <v>111</v>
      </c>
      <c r="B21" s="11" t="s">
        <v>112</v>
      </c>
      <c r="C21" s="10" t="s">
        <v>84</v>
      </c>
      <c r="D21" s="11" t="s">
        <v>19</v>
      </c>
      <c r="E21" s="11" t="s">
        <v>47</v>
      </c>
      <c r="F21" s="11" t="s">
        <v>113</v>
      </c>
      <c r="G21" s="11" t="s">
        <v>114</v>
      </c>
      <c r="H21" s="10">
        <f>COUNTIF('Matriz Componentes'!$A$5:$A$135,A21)</f>
        <v>1</v>
      </c>
    </row>
    <row r="22" spans="1:8" ht="15" customHeight="1" x14ac:dyDescent="0.3">
      <c r="A22" s="12" t="s">
        <v>115</v>
      </c>
      <c r="B22" s="13" t="s">
        <v>116</v>
      </c>
      <c r="C22" s="12" t="s">
        <v>84</v>
      </c>
      <c r="D22" s="13" t="s">
        <v>20</v>
      </c>
      <c r="E22" s="13" t="s">
        <v>47</v>
      </c>
      <c r="F22" s="13" t="s">
        <v>47</v>
      </c>
      <c r="G22" s="13" t="s">
        <v>117</v>
      </c>
      <c r="H22" s="12">
        <f>COUNTIF('Matriz Componentes'!$A$5:$A$135,A22)</f>
        <v>1</v>
      </c>
    </row>
    <row r="23" spans="1:8" ht="27.75" customHeight="1" x14ac:dyDescent="0.3">
      <c r="A23" s="10" t="s">
        <v>118</v>
      </c>
      <c r="B23" s="11" t="s">
        <v>83</v>
      </c>
      <c r="C23" s="10" t="s">
        <v>84</v>
      </c>
      <c r="D23" s="11" t="s">
        <v>17</v>
      </c>
      <c r="E23" s="11" t="s">
        <v>62</v>
      </c>
      <c r="F23" s="11" t="s">
        <v>47</v>
      </c>
      <c r="G23" s="11" t="s">
        <v>85</v>
      </c>
      <c r="H23" s="10">
        <f>COUNTIF('Matriz Componentes'!$A$5:$A$135,A23)</f>
        <v>1</v>
      </c>
    </row>
    <row r="24" spans="1:8" ht="27.75" customHeight="1" x14ac:dyDescent="0.3">
      <c r="A24" s="12" t="s">
        <v>119</v>
      </c>
      <c r="B24" s="13" t="s">
        <v>87</v>
      </c>
      <c r="C24" s="12" t="s">
        <v>84</v>
      </c>
      <c r="D24" s="13" t="s">
        <v>17</v>
      </c>
      <c r="E24" s="13" t="s">
        <v>62</v>
      </c>
      <c r="F24" s="13" t="s">
        <v>88</v>
      </c>
      <c r="G24" s="13" t="s">
        <v>89</v>
      </c>
      <c r="H24" s="12">
        <f>COUNTIF('Matriz Componentes'!$A$5:$A$135,A24)</f>
        <v>1</v>
      </c>
    </row>
    <row r="25" spans="1:8" ht="27.75" customHeight="1" x14ac:dyDescent="0.3">
      <c r="A25" s="10" t="s">
        <v>120</v>
      </c>
      <c r="B25" s="11" t="s">
        <v>91</v>
      </c>
      <c r="C25" s="10" t="s">
        <v>84</v>
      </c>
      <c r="D25" s="11" t="s">
        <v>18</v>
      </c>
      <c r="E25" s="11" t="s">
        <v>62</v>
      </c>
      <c r="F25" s="11" t="s">
        <v>57</v>
      </c>
      <c r="G25" s="11" t="s">
        <v>92</v>
      </c>
      <c r="H25" s="10">
        <f>COUNTIF('Matriz Componentes'!$A$5:$A$135,A25)</f>
        <v>1</v>
      </c>
    </row>
    <row r="26" spans="1:8" ht="27.75" customHeight="1" x14ac:dyDescent="0.3">
      <c r="A26" s="12" t="s">
        <v>121</v>
      </c>
      <c r="B26" s="13" t="s">
        <v>94</v>
      </c>
      <c r="C26" s="12" t="s">
        <v>84</v>
      </c>
      <c r="D26" s="13" t="s">
        <v>18</v>
      </c>
      <c r="E26" s="13" t="s">
        <v>62</v>
      </c>
      <c r="F26" s="13" t="s">
        <v>80</v>
      </c>
      <c r="G26" s="13" t="s">
        <v>95</v>
      </c>
      <c r="H26" s="12">
        <f>COUNTIF('Matriz Componentes'!$A$5:$A$135,A26)</f>
        <v>1</v>
      </c>
    </row>
    <row r="27" spans="1:8" ht="27.75" customHeight="1" x14ac:dyDescent="0.3">
      <c r="A27" s="10" t="s">
        <v>122</v>
      </c>
      <c r="B27" s="11" t="s">
        <v>97</v>
      </c>
      <c r="C27" s="10" t="s">
        <v>84</v>
      </c>
      <c r="D27" s="11" t="s">
        <v>17</v>
      </c>
      <c r="E27" s="11" t="s">
        <v>62</v>
      </c>
      <c r="F27" s="11" t="s">
        <v>98</v>
      </c>
      <c r="G27" s="11" t="s">
        <v>99</v>
      </c>
      <c r="H27" s="10">
        <f>COUNTIF('Matriz Componentes'!$A$5:$A$135,A27)</f>
        <v>1</v>
      </c>
    </row>
    <row r="28" spans="1:8" ht="15" customHeight="1" x14ac:dyDescent="0.3">
      <c r="A28" s="12" t="s">
        <v>123</v>
      </c>
      <c r="B28" s="13" t="s">
        <v>101</v>
      </c>
      <c r="C28" s="12" t="s">
        <v>84</v>
      </c>
      <c r="D28" s="13" t="s">
        <v>18</v>
      </c>
      <c r="E28" s="13" t="s">
        <v>62</v>
      </c>
      <c r="F28" s="13" t="s">
        <v>52</v>
      </c>
      <c r="G28" s="13" t="s">
        <v>102</v>
      </c>
      <c r="H28" s="12">
        <f>COUNTIF('Matriz Componentes'!$A$5:$A$135,A28)</f>
        <v>1</v>
      </c>
    </row>
    <row r="29" spans="1:8" ht="15" customHeight="1" x14ac:dyDescent="0.3">
      <c r="A29" s="10" t="s">
        <v>124</v>
      </c>
      <c r="B29" s="11" t="s">
        <v>104</v>
      </c>
      <c r="C29" s="10" t="s">
        <v>84</v>
      </c>
      <c r="D29" s="11" t="s">
        <v>17</v>
      </c>
      <c r="E29" s="11" t="s">
        <v>62</v>
      </c>
      <c r="F29" s="11" t="s">
        <v>105</v>
      </c>
      <c r="G29" s="11" t="s">
        <v>106</v>
      </c>
      <c r="H29" s="10">
        <f>COUNTIF('Matriz Componentes'!$A$5:$A$135,A29)</f>
        <v>1</v>
      </c>
    </row>
    <row r="30" spans="1:8" ht="15" customHeight="1" x14ac:dyDescent="0.3">
      <c r="A30" s="12" t="s">
        <v>125</v>
      </c>
      <c r="B30" s="13" t="s">
        <v>108</v>
      </c>
      <c r="C30" s="12" t="s">
        <v>84</v>
      </c>
      <c r="D30" s="13" t="s">
        <v>19</v>
      </c>
      <c r="E30" s="13" t="s">
        <v>62</v>
      </c>
      <c r="F30" s="13" t="s">
        <v>109</v>
      </c>
      <c r="G30" s="13" t="s">
        <v>110</v>
      </c>
      <c r="H30" s="12">
        <f>COUNTIF('Matriz Componentes'!$A$5:$A$135,A30)</f>
        <v>1</v>
      </c>
    </row>
    <row r="31" spans="1:8" ht="15" customHeight="1" x14ac:dyDescent="0.3">
      <c r="A31" s="10" t="s">
        <v>126</v>
      </c>
      <c r="B31" s="11" t="s">
        <v>112</v>
      </c>
      <c r="C31" s="10" t="s">
        <v>84</v>
      </c>
      <c r="D31" s="11" t="s">
        <v>19</v>
      </c>
      <c r="E31" s="11" t="s">
        <v>62</v>
      </c>
      <c r="F31" s="11" t="s">
        <v>113</v>
      </c>
      <c r="G31" s="11" t="s">
        <v>114</v>
      </c>
      <c r="H31" s="10">
        <f>COUNTIF('Matriz Componentes'!$A$5:$A$135,A31)</f>
        <v>1</v>
      </c>
    </row>
    <row r="32" spans="1:8" ht="15" customHeight="1" x14ac:dyDescent="0.3">
      <c r="A32" s="12" t="s">
        <v>127</v>
      </c>
      <c r="B32" s="13" t="s">
        <v>116</v>
      </c>
      <c r="C32" s="12" t="s">
        <v>84</v>
      </c>
      <c r="D32" s="13" t="s">
        <v>20</v>
      </c>
      <c r="E32" s="13" t="s">
        <v>62</v>
      </c>
      <c r="F32" s="13" t="s">
        <v>62</v>
      </c>
      <c r="G32" s="13" t="s">
        <v>117</v>
      </c>
      <c r="H32" s="12">
        <f>COUNTIF('Matriz Componentes'!$A$5:$A$135,A32)</f>
        <v>1</v>
      </c>
    </row>
    <row r="33" spans="1:8" ht="27.75" customHeight="1" x14ac:dyDescent="0.3">
      <c r="A33" s="10" t="s">
        <v>128</v>
      </c>
      <c r="B33" s="11" t="s">
        <v>83</v>
      </c>
      <c r="C33" s="10" t="s">
        <v>84</v>
      </c>
      <c r="D33" s="11" t="s">
        <v>17</v>
      </c>
      <c r="E33" s="11" t="s">
        <v>88</v>
      </c>
      <c r="F33" s="11" t="s">
        <v>47</v>
      </c>
      <c r="G33" s="11" t="s">
        <v>85</v>
      </c>
      <c r="H33" s="10">
        <f>COUNTIF('Matriz Componentes'!$A$5:$A$135,A33)</f>
        <v>1</v>
      </c>
    </row>
    <row r="34" spans="1:8" ht="27.75" customHeight="1" x14ac:dyDescent="0.3">
      <c r="A34" s="12" t="s">
        <v>129</v>
      </c>
      <c r="B34" s="13" t="s">
        <v>87</v>
      </c>
      <c r="C34" s="12" t="s">
        <v>84</v>
      </c>
      <c r="D34" s="13" t="s">
        <v>17</v>
      </c>
      <c r="E34" s="13" t="s">
        <v>88</v>
      </c>
      <c r="F34" s="13" t="s">
        <v>62</v>
      </c>
      <c r="G34" s="13" t="s">
        <v>89</v>
      </c>
      <c r="H34" s="12">
        <f>COUNTIF('Matriz Componentes'!$A$5:$A$135,A34)</f>
        <v>1</v>
      </c>
    </row>
    <row r="35" spans="1:8" ht="27.75" customHeight="1" x14ac:dyDescent="0.3">
      <c r="A35" s="10" t="s">
        <v>130</v>
      </c>
      <c r="B35" s="11" t="s">
        <v>91</v>
      </c>
      <c r="C35" s="10" t="s">
        <v>84</v>
      </c>
      <c r="D35" s="11" t="s">
        <v>18</v>
      </c>
      <c r="E35" s="11" t="s">
        <v>88</v>
      </c>
      <c r="F35" s="11" t="s">
        <v>57</v>
      </c>
      <c r="G35" s="11" t="s">
        <v>92</v>
      </c>
      <c r="H35" s="10">
        <f>COUNTIF('Matriz Componentes'!$A$5:$A$135,A35)</f>
        <v>1</v>
      </c>
    </row>
    <row r="36" spans="1:8" ht="27.75" customHeight="1" x14ac:dyDescent="0.3">
      <c r="A36" s="12" t="s">
        <v>131</v>
      </c>
      <c r="B36" s="13" t="s">
        <v>94</v>
      </c>
      <c r="C36" s="12" t="s">
        <v>84</v>
      </c>
      <c r="D36" s="13" t="s">
        <v>18</v>
      </c>
      <c r="E36" s="13" t="s">
        <v>88</v>
      </c>
      <c r="F36" s="13" t="s">
        <v>80</v>
      </c>
      <c r="G36" s="13" t="s">
        <v>95</v>
      </c>
      <c r="H36" s="12">
        <f>COUNTIF('Matriz Componentes'!$A$5:$A$135,A36)</f>
        <v>1</v>
      </c>
    </row>
    <row r="37" spans="1:8" ht="27.75" customHeight="1" x14ac:dyDescent="0.3">
      <c r="A37" s="10" t="s">
        <v>132</v>
      </c>
      <c r="B37" s="11" t="s">
        <v>97</v>
      </c>
      <c r="C37" s="10" t="s">
        <v>84</v>
      </c>
      <c r="D37" s="11" t="s">
        <v>17</v>
      </c>
      <c r="E37" s="11" t="s">
        <v>88</v>
      </c>
      <c r="F37" s="11" t="s">
        <v>98</v>
      </c>
      <c r="G37" s="11" t="s">
        <v>99</v>
      </c>
      <c r="H37" s="10">
        <f>COUNTIF('Matriz Componentes'!$A$5:$A$135,A37)</f>
        <v>1</v>
      </c>
    </row>
    <row r="38" spans="1:8" ht="15" customHeight="1" x14ac:dyDescent="0.3">
      <c r="A38" s="12" t="s">
        <v>133</v>
      </c>
      <c r="B38" s="13" t="s">
        <v>101</v>
      </c>
      <c r="C38" s="12" t="s">
        <v>84</v>
      </c>
      <c r="D38" s="13" t="s">
        <v>18</v>
      </c>
      <c r="E38" s="13" t="s">
        <v>88</v>
      </c>
      <c r="F38" s="13" t="s">
        <v>52</v>
      </c>
      <c r="G38" s="13" t="s">
        <v>102</v>
      </c>
      <c r="H38" s="12">
        <f>COUNTIF('Matriz Componentes'!$A$5:$A$135,A38)</f>
        <v>1</v>
      </c>
    </row>
    <row r="39" spans="1:8" ht="15" customHeight="1" x14ac:dyDescent="0.3">
      <c r="A39" s="10" t="s">
        <v>134</v>
      </c>
      <c r="B39" s="11" t="s">
        <v>104</v>
      </c>
      <c r="C39" s="10" t="s">
        <v>84</v>
      </c>
      <c r="D39" s="11" t="s">
        <v>17</v>
      </c>
      <c r="E39" s="11" t="s">
        <v>88</v>
      </c>
      <c r="F39" s="11" t="s">
        <v>105</v>
      </c>
      <c r="G39" s="11" t="s">
        <v>106</v>
      </c>
      <c r="H39" s="10">
        <f>COUNTIF('Matriz Componentes'!$A$5:$A$135,A39)</f>
        <v>1</v>
      </c>
    </row>
    <row r="40" spans="1:8" ht="15" customHeight="1" x14ac:dyDescent="0.3">
      <c r="A40" s="12" t="s">
        <v>135</v>
      </c>
      <c r="B40" s="13" t="s">
        <v>108</v>
      </c>
      <c r="C40" s="12" t="s">
        <v>84</v>
      </c>
      <c r="D40" s="13" t="s">
        <v>19</v>
      </c>
      <c r="E40" s="13" t="s">
        <v>88</v>
      </c>
      <c r="F40" s="13" t="s">
        <v>109</v>
      </c>
      <c r="G40" s="13" t="s">
        <v>110</v>
      </c>
      <c r="H40" s="12">
        <f>COUNTIF('Matriz Componentes'!$A$5:$A$135,A40)</f>
        <v>1</v>
      </c>
    </row>
    <row r="41" spans="1:8" ht="15" customHeight="1" x14ac:dyDescent="0.3">
      <c r="A41" s="10" t="s">
        <v>136</v>
      </c>
      <c r="B41" s="11" t="s">
        <v>112</v>
      </c>
      <c r="C41" s="10" t="s">
        <v>84</v>
      </c>
      <c r="D41" s="11" t="s">
        <v>19</v>
      </c>
      <c r="E41" s="11" t="s">
        <v>88</v>
      </c>
      <c r="F41" s="11" t="s">
        <v>113</v>
      </c>
      <c r="G41" s="11" t="s">
        <v>114</v>
      </c>
      <c r="H41" s="10">
        <f>COUNTIF('Matriz Componentes'!$A$5:$A$135,A41)</f>
        <v>1</v>
      </c>
    </row>
    <row r="42" spans="1:8" ht="15" customHeight="1" x14ac:dyDescent="0.3">
      <c r="A42" s="12" t="s">
        <v>137</v>
      </c>
      <c r="B42" s="13" t="s">
        <v>116</v>
      </c>
      <c r="C42" s="12" t="s">
        <v>84</v>
      </c>
      <c r="D42" s="13" t="s">
        <v>20</v>
      </c>
      <c r="E42" s="13" t="s">
        <v>88</v>
      </c>
      <c r="F42" s="13" t="s">
        <v>88</v>
      </c>
      <c r="G42" s="13" t="s">
        <v>117</v>
      </c>
      <c r="H42" s="12">
        <f>COUNTIF('Matriz Componentes'!$A$5:$A$135,A42)</f>
        <v>1</v>
      </c>
    </row>
    <row r="43" spans="1:8" ht="27.75" customHeight="1" x14ac:dyDescent="0.3">
      <c r="A43" s="10" t="s">
        <v>138</v>
      </c>
      <c r="B43" s="11" t="s">
        <v>83</v>
      </c>
      <c r="C43" s="10" t="s">
        <v>84</v>
      </c>
      <c r="D43" s="11" t="s">
        <v>17</v>
      </c>
      <c r="E43" s="11" t="s">
        <v>57</v>
      </c>
      <c r="F43" s="11" t="s">
        <v>47</v>
      </c>
      <c r="G43" s="11" t="s">
        <v>85</v>
      </c>
      <c r="H43" s="10">
        <f>COUNTIF('Matriz Componentes'!$A$5:$A$135,A43)</f>
        <v>1</v>
      </c>
    </row>
    <row r="44" spans="1:8" ht="27.75" customHeight="1" x14ac:dyDescent="0.3">
      <c r="A44" s="12" t="s">
        <v>139</v>
      </c>
      <c r="B44" s="13" t="s">
        <v>87</v>
      </c>
      <c r="C44" s="12" t="s">
        <v>84</v>
      </c>
      <c r="D44" s="13" t="s">
        <v>17</v>
      </c>
      <c r="E44" s="13" t="s">
        <v>57</v>
      </c>
      <c r="F44" s="13" t="s">
        <v>62</v>
      </c>
      <c r="G44" s="13" t="s">
        <v>89</v>
      </c>
      <c r="H44" s="12">
        <f>COUNTIF('Matriz Componentes'!$A$5:$A$135,A44)</f>
        <v>1</v>
      </c>
    </row>
    <row r="45" spans="1:8" ht="27.75" customHeight="1" x14ac:dyDescent="0.3">
      <c r="A45" s="10" t="s">
        <v>140</v>
      </c>
      <c r="B45" s="11" t="s">
        <v>91</v>
      </c>
      <c r="C45" s="10" t="s">
        <v>84</v>
      </c>
      <c r="D45" s="11" t="s">
        <v>18</v>
      </c>
      <c r="E45" s="11" t="s">
        <v>57</v>
      </c>
      <c r="F45" s="11" t="s">
        <v>88</v>
      </c>
      <c r="G45" s="11" t="s">
        <v>92</v>
      </c>
      <c r="H45" s="10">
        <f>COUNTIF('Matriz Componentes'!$A$5:$A$135,A45)</f>
        <v>1</v>
      </c>
    </row>
    <row r="46" spans="1:8" ht="27.75" customHeight="1" x14ac:dyDescent="0.3">
      <c r="A46" s="12" t="s">
        <v>141</v>
      </c>
      <c r="B46" s="13" t="s">
        <v>94</v>
      </c>
      <c r="C46" s="12" t="s">
        <v>84</v>
      </c>
      <c r="D46" s="13" t="s">
        <v>18</v>
      </c>
      <c r="E46" s="13" t="s">
        <v>57</v>
      </c>
      <c r="F46" s="13" t="s">
        <v>80</v>
      </c>
      <c r="G46" s="13" t="s">
        <v>95</v>
      </c>
      <c r="H46" s="12">
        <f>COUNTIF('Matriz Componentes'!$A$5:$A$135,A46)</f>
        <v>1</v>
      </c>
    </row>
    <row r="47" spans="1:8" ht="27.75" customHeight="1" x14ac:dyDescent="0.3">
      <c r="A47" s="10" t="s">
        <v>142</v>
      </c>
      <c r="B47" s="11" t="s">
        <v>97</v>
      </c>
      <c r="C47" s="10" t="s">
        <v>84</v>
      </c>
      <c r="D47" s="11" t="s">
        <v>17</v>
      </c>
      <c r="E47" s="11" t="s">
        <v>57</v>
      </c>
      <c r="F47" s="11" t="s">
        <v>98</v>
      </c>
      <c r="G47" s="11" t="s">
        <v>99</v>
      </c>
      <c r="H47" s="10">
        <f>COUNTIF('Matriz Componentes'!$A$5:$A$135,A47)</f>
        <v>1</v>
      </c>
    </row>
    <row r="48" spans="1:8" ht="27.75" customHeight="1" x14ac:dyDescent="0.3">
      <c r="A48" s="12" t="s">
        <v>143</v>
      </c>
      <c r="B48" s="13" t="s">
        <v>101</v>
      </c>
      <c r="C48" s="12" t="s">
        <v>84</v>
      </c>
      <c r="D48" s="13" t="s">
        <v>18</v>
      </c>
      <c r="E48" s="13" t="s">
        <v>57</v>
      </c>
      <c r="F48" s="13" t="s">
        <v>52</v>
      </c>
      <c r="G48" s="13" t="s">
        <v>102</v>
      </c>
      <c r="H48" s="12">
        <f>COUNTIF('Matriz Componentes'!$A$5:$A$135,A48)</f>
        <v>1</v>
      </c>
    </row>
    <row r="49" spans="1:8" ht="27.75" customHeight="1" x14ac:dyDescent="0.3">
      <c r="A49" s="10" t="s">
        <v>144</v>
      </c>
      <c r="B49" s="11" t="s">
        <v>104</v>
      </c>
      <c r="C49" s="10" t="s">
        <v>84</v>
      </c>
      <c r="D49" s="11" t="s">
        <v>17</v>
      </c>
      <c r="E49" s="11" t="s">
        <v>57</v>
      </c>
      <c r="F49" s="11" t="s">
        <v>105</v>
      </c>
      <c r="G49" s="11" t="s">
        <v>106</v>
      </c>
      <c r="H49" s="10">
        <f>COUNTIF('Matriz Componentes'!$A$5:$A$135,A49)</f>
        <v>1</v>
      </c>
    </row>
    <row r="50" spans="1:8" ht="27.75" customHeight="1" x14ac:dyDescent="0.3">
      <c r="A50" s="12" t="s">
        <v>145</v>
      </c>
      <c r="B50" s="13" t="s">
        <v>108</v>
      </c>
      <c r="C50" s="12" t="s">
        <v>84</v>
      </c>
      <c r="D50" s="13" t="s">
        <v>19</v>
      </c>
      <c r="E50" s="13" t="s">
        <v>57</v>
      </c>
      <c r="F50" s="13" t="s">
        <v>109</v>
      </c>
      <c r="G50" s="13" t="s">
        <v>110</v>
      </c>
      <c r="H50" s="12">
        <f>COUNTIF('Matriz Componentes'!$A$5:$A$135,A50)</f>
        <v>1</v>
      </c>
    </row>
    <row r="51" spans="1:8" ht="27.75" customHeight="1" x14ac:dyDescent="0.3">
      <c r="A51" s="10" t="s">
        <v>146</v>
      </c>
      <c r="B51" s="11" t="s">
        <v>112</v>
      </c>
      <c r="C51" s="10" t="s">
        <v>84</v>
      </c>
      <c r="D51" s="11" t="s">
        <v>19</v>
      </c>
      <c r="E51" s="11" t="s">
        <v>57</v>
      </c>
      <c r="F51" s="11" t="s">
        <v>113</v>
      </c>
      <c r="G51" s="11" t="s">
        <v>114</v>
      </c>
      <c r="H51" s="10">
        <f>COUNTIF('Matriz Componentes'!$A$5:$A$135,A51)</f>
        <v>1</v>
      </c>
    </row>
    <row r="52" spans="1:8" ht="27.75" customHeight="1" x14ac:dyDescent="0.3">
      <c r="A52" s="12" t="s">
        <v>147</v>
      </c>
      <c r="B52" s="13" t="s">
        <v>116</v>
      </c>
      <c r="C52" s="12" t="s">
        <v>84</v>
      </c>
      <c r="D52" s="13" t="s">
        <v>20</v>
      </c>
      <c r="E52" s="13" t="s">
        <v>57</v>
      </c>
      <c r="F52" s="13" t="s">
        <v>57</v>
      </c>
      <c r="G52" s="13" t="s">
        <v>117</v>
      </c>
      <c r="H52" s="12">
        <f>COUNTIF('Matriz Componentes'!$A$5:$A$135,A52)</f>
        <v>1</v>
      </c>
    </row>
    <row r="53" spans="1:8" ht="27.75" customHeight="1" x14ac:dyDescent="0.3">
      <c r="A53" s="10" t="s">
        <v>148</v>
      </c>
      <c r="B53" s="11" t="s">
        <v>83</v>
      </c>
      <c r="C53" s="10" t="s">
        <v>84</v>
      </c>
      <c r="D53" s="11" t="s">
        <v>17</v>
      </c>
      <c r="E53" s="11" t="s">
        <v>80</v>
      </c>
      <c r="F53" s="11" t="s">
        <v>47</v>
      </c>
      <c r="G53" s="11" t="s">
        <v>85</v>
      </c>
      <c r="H53" s="10">
        <f>COUNTIF('Matriz Componentes'!$A$5:$A$135,A53)</f>
        <v>1</v>
      </c>
    </row>
    <row r="54" spans="1:8" ht="27.75" customHeight="1" x14ac:dyDescent="0.3">
      <c r="A54" s="12" t="s">
        <v>149</v>
      </c>
      <c r="B54" s="13" t="s">
        <v>87</v>
      </c>
      <c r="C54" s="12" t="s">
        <v>84</v>
      </c>
      <c r="D54" s="13" t="s">
        <v>17</v>
      </c>
      <c r="E54" s="13" t="s">
        <v>80</v>
      </c>
      <c r="F54" s="13" t="s">
        <v>62</v>
      </c>
      <c r="G54" s="13" t="s">
        <v>89</v>
      </c>
      <c r="H54" s="12">
        <f>COUNTIF('Matriz Componentes'!$A$5:$A$135,A54)</f>
        <v>1</v>
      </c>
    </row>
    <row r="55" spans="1:8" ht="27.75" customHeight="1" x14ac:dyDescent="0.3">
      <c r="A55" s="10" t="s">
        <v>150</v>
      </c>
      <c r="B55" s="11" t="s">
        <v>91</v>
      </c>
      <c r="C55" s="10" t="s">
        <v>84</v>
      </c>
      <c r="D55" s="11" t="s">
        <v>18</v>
      </c>
      <c r="E55" s="11" t="s">
        <v>80</v>
      </c>
      <c r="F55" s="11" t="s">
        <v>88</v>
      </c>
      <c r="G55" s="11" t="s">
        <v>92</v>
      </c>
      <c r="H55" s="10">
        <f>COUNTIF('Matriz Componentes'!$A$5:$A$135,A55)</f>
        <v>1</v>
      </c>
    </row>
    <row r="56" spans="1:8" ht="27.75" customHeight="1" x14ac:dyDescent="0.3">
      <c r="A56" s="12" t="s">
        <v>151</v>
      </c>
      <c r="B56" s="13" t="s">
        <v>94</v>
      </c>
      <c r="C56" s="12" t="s">
        <v>84</v>
      </c>
      <c r="D56" s="13" t="s">
        <v>18</v>
      </c>
      <c r="E56" s="13" t="s">
        <v>80</v>
      </c>
      <c r="F56" s="13" t="s">
        <v>57</v>
      </c>
      <c r="G56" s="13" t="s">
        <v>95</v>
      </c>
      <c r="H56" s="12">
        <f>COUNTIF('Matriz Componentes'!$A$5:$A$135,A56)</f>
        <v>1</v>
      </c>
    </row>
    <row r="57" spans="1:8" ht="27.75" customHeight="1" x14ac:dyDescent="0.3">
      <c r="A57" s="10" t="s">
        <v>152</v>
      </c>
      <c r="B57" s="11" t="s">
        <v>97</v>
      </c>
      <c r="C57" s="10" t="s">
        <v>84</v>
      </c>
      <c r="D57" s="11" t="s">
        <v>17</v>
      </c>
      <c r="E57" s="11" t="s">
        <v>80</v>
      </c>
      <c r="F57" s="11" t="s">
        <v>98</v>
      </c>
      <c r="G57" s="11" t="s">
        <v>99</v>
      </c>
      <c r="H57" s="10">
        <f>COUNTIF('Matriz Componentes'!$A$5:$A$135,A57)</f>
        <v>1</v>
      </c>
    </row>
    <row r="58" spans="1:8" ht="27.75" customHeight="1" x14ac:dyDescent="0.3">
      <c r="A58" s="12" t="s">
        <v>153</v>
      </c>
      <c r="B58" s="13" t="s">
        <v>101</v>
      </c>
      <c r="C58" s="12" t="s">
        <v>84</v>
      </c>
      <c r="D58" s="13" t="s">
        <v>18</v>
      </c>
      <c r="E58" s="13" t="s">
        <v>80</v>
      </c>
      <c r="F58" s="13" t="s">
        <v>52</v>
      </c>
      <c r="G58" s="13" t="s">
        <v>102</v>
      </c>
      <c r="H58" s="12">
        <f>COUNTIF('Matriz Componentes'!$A$5:$A$135,A58)</f>
        <v>1</v>
      </c>
    </row>
    <row r="59" spans="1:8" ht="27.75" customHeight="1" x14ac:dyDescent="0.3">
      <c r="A59" s="10" t="s">
        <v>154</v>
      </c>
      <c r="B59" s="11" t="s">
        <v>104</v>
      </c>
      <c r="C59" s="10" t="s">
        <v>84</v>
      </c>
      <c r="D59" s="11" t="s">
        <v>17</v>
      </c>
      <c r="E59" s="11" t="s">
        <v>80</v>
      </c>
      <c r="F59" s="11" t="s">
        <v>105</v>
      </c>
      <c r="G59" s="11" t="s">
        <v>106</v>
      </c>
      <c r="H59" s="10">
        <f>COUNTIF('Matriz Componentes'!$A$5:$A$135,A59)</f>
        <v>1</v>
      </c>
    </row>
    <row r="60" spans="1:8" ht="27.75" customHeight="1" x14ac:dyDescent="0.3">
      <c r="A60" s="12" t="s">
        <v>155</v>
      </c>
      <c r="B60" s="13" t="s">
        <v>108</v>
      </c>
      <c r="C60" s="12" t="s">
        <v>84</v>
      </c>
      <c r="D60" s="13" t="s">
        <v>19</v>
      </c>
      <c r="E60" s="13" t="s">
        <v>80</v>
      </c>
      <c r="F60" s="13" t="s">
        <v>109</v>
      </c>
      <c r="G60" s="13" t="s">
        <v>110</v>
      </c>
      <c r="H60" s="12">
        <f>COUNTIF('Matriz Componentes'!$A$5:$A$135,A60)</f>
        <v>1</v>
      </c>
    </row>
    <row r="61" spans="1:8" ht="27.75" customHeight="1" x14ac:dyDescent="0.3">
      <c r="A61" s="10" t="s">
        <v>156</v>
      </c>
      <c r="B61" s="11" t="s">
        <v>112</v>
      </c>
      <c r="C61" s="10" t="s">
        <v>84</v>
      </c>
      <c r="D61" s="11" t="s">
        <v>19</v>
      </c>
      <c r="E61" s="11" t="s">
        <v>80</v>
      </c>
      <c r="F61" s="11" t="s">
        <v>113</v>
      </c>
      <c r="G61" s="11" t="s">
        <v>114</v>
      </c>
      <c r="H61" s="10">
        <f>COUNTIF('Matriz Componentes'!$A$5:$A$135,A61)</f>
        <v>1</v>
      </c>
    </row>
    <row r="62" spans="1:8" ht="27.75" customHeight="1" x14ac:dyDescent="0.3">
      <c r="A62" s="12" t="s">
        <v>157</v>
      </c>
      <c r="B62" s="13" t="s">
        <v>116</v>
      </c>
      <c r="C62" s="12" t="s">
        <v>84</v>
      </c>
      <c r="D62" s="13" t="s">
        <v>20</v>
      </c>
      <c r="E62" s="13" t="s">
        <v>80</v>
      </c>
      <c r="F62" s="13" t="s">
        <v>80</v>
      </c>
      <c r="G62" s="13" t="s">
        <v>117</v>
      </c>
      <c r="H62" s="12">
        <f>COUNTIF('Matriz Componentes'!$A$5:$A$135,A62)</f>
        <v>1</v>
      </c>
    </row>
    <row r="63" spans="1:8" ht="27.75" customHeight="1" x14ac:dyDescent="0.3">
      <c r="A63" s="10" t="s">
        <v>158</v>
      </c>
      <c r="B63" s="11" t="s">
        <v>83</v>
      </c>
      <c r="C63" s="10" t="s">
        <v>84</v>
      </c>
      <c r="D63" s="11" t="s">
        <v>17</v>
      </c>
      <c r="E63" s="11" t="s">
        <v>98</v>
      </c>
      <c r="F63" s="11" t="s">
        <v>47</v>
      </c>
      <c r="G63" s="11" t="s">
        <v>85</v>
      </c>
      <c r="H63" s="10">
        <f>COUNTIF('Matriz Componentes'!$A$5:$A$135,A63)</f>
        <v>1</v>
      </c>
    </row>
    <row r="64" spans="1:8" ht="27.75" customHeight="1" x14ac:dyDescent="0.3">
      <c r="A64" s="12" t="s">
        <v>159</v>
      </c>
      <c r="B64" s="13" t="s">
        <v>87</v>
      </c>
      <c r="C64" s="12" t="s">
        <v>84</v>
      </c>
      <c r="D64" s="13" t="s">
        <v>17</v>
      </c>
      <c r="E64" s="13" t="s">
        <v>98</v>
      </c>
      <c r="F64" s="13" t="s">
        <v>62</v>
      </c>
      <c r="G64" s="13" t="s">
        <v>89</v>
      </c>
      <c r="H64" s="12">
        <f>COUNTIF('Matriz Componentes'!$A$5:$A$135,A64)</f>
        <v>1</v>
      </c>
    </row>
    <row r="65" spans="1:8" ht="27.75" customHeight="1" x14ac:dyDescent="0.3">
      <c r="A65" s="10" t="s">
        <v>160</v>
      </c>
      <c r="B65" s="11" t="s">
        <v>91</v>
      </c>
      <c r="C65" s="10" t="s">
        <v>84</v>
      </c>
      <c r="D65" s="11" t="s">
        <v>18</v>
      </c>
      <c r="E65" s="11" t="s">
        <v>98</v>
      </c>
      <c r="F65" s="11" t="s">
        <v>88</v>
      </c>
      <c r="G65" s="11" t="s">
        <v>92</v>
      </c>
      <c r="H65" s="10">
        <f>COUNTIF('Matriz Componentes'!$A$5:$A$135,A65)</f>
        <v>1</v>
      </c>
    </row>
    <row r="66" spans="1:8" ht="27.75" customHeight="1" x14ac:dyDescent="0.3">
      <c r="A66" s="12" t="s">
        <v>161</v>
      </c>
      <c r="B66" s="13" t="s">
        <v>94</v>
      </c>
      <c r="C66" s="12" t="s">
        <v>84</v>
      </c>
      <c r="D66" s="13" t="s">
        <v>18</v>
      </c>
      <c r="E66" s="13" t="s">
        <v>98</v>
      </c>
      <c r="F66" s="13" t="s">
        <v>57</v>
      </c>
      <c r="G66" s="13" t="s">
        <v>95</v>
      </c>
      <c r="H66" s="12">
        <f>COUNTIF('Matriz Componentes'!$A$5:$A$135,A66)</f>
        <v>1</v>
      </c>
    </row>
    <row r="67" spans="1:8" ht="27.75" customHeight="1" x14ac:dyDescent="0.3">
      <c r="A67" s="10" t="s">
        <v>162</v>
      </c>
      <c r="B67" s="11" t="s">
        <v>97</v>
      </c>
      <c r="C67" s="10" t="s">
        <v>84</v>
      </c>
      <c r="D67" s="11" t="s">
        <v>17</v>
      </c>
      <c r="E67" s="11" t="s">
        <v>98</v>
      </c>
      <c r="F67" s="11" t="s">
        <v>80</v>
      </c>
      <c r="G67" s="11" t="s">
        <v>99</v>
      </c>
      <c r="H67" s="10">
        <f>COUNTIF('Matriz Componentes'!$A$5:$A$135,A67)</f>
        <v>1</v>
      </c>
    </row>
    <row r="68" spans="1:8" ht="27.75" customHeight="1" x14ac:dyDescent="0.3">
      <c r="A68" s="12" t="s">
        <v>163</v>
      </c>
      <c r="B68" s="13" t="s">
        <v>101</v>
      </c>
      <c r="C68" s="12" t="s">
        <v>84</v>
      </c>
      <c r="D68" s="13" t="s">
        <v>18</v>
      </c>
      <c r="E68" s="13" t="s">
        <v>98</v>
      </c>
      <c r="F68" s="13" t="s">
        <v>52</v>
      </c>
      <c r="G68" s="13" t="s">
        <v>102</v>
      </c>
      <c r="H68" s="12">
        <f>COUNTIF('Matriz Componentes'!$A$5:$A$135,A68)</f>
        <v>1</v>
      </c>
    </row>
    <row r="69" spans="1:8" ht="27.75" customHeight="1" x14ac:dyDescent="0.3">
      <c r="A69" s="10" t="s">
        <v>164</v>
      </c>
      <c r="B69" s="11" t="s">
        <v>104</v>
      </c>
      <c r="C69" s="10" t="s">
        <v>84</v>
      </c>
      <c r="D69" s="11" t="s">
        <v>17</v>
      </c>
      <c r="E69" s="11" t="s">
        <v>98</v>
      </c>
      <c r="F69" s="11" t="s">
        <v>105</v>
      </c>
      <c r="G69" s="11" t="s">
        <v>106</v>
      </c>
      <c r="H69" s="10">
        <f>COUNTIF('Matriz Componentes'!$A$5:$A$135,A69)</f>
        <v>1</v>
      </c>
    </row>
    <row r="70" spans="1:8" ht="27.75" customHeight="1" x14ac:dyDescent="0.3">
      <c r="A70" s="12" t="s">
        <v>165</v>
      </c>
      <c r="B70" s="13" t="s">
        <v>108</v>
      </c>
      <c r="C70" s="12" t="s">
        <v>84</v>
      </c>
      <c r="D70" s="13" t="s">
        <v>19</v>
      </c>
      <c r="E70" s="13" t="s">
        <v>98</v>
      </c>
      <c r="F70" s="13" t="s">
        <v>109</v>
      </c>
      <c r="G70" s="13" t="s">
        <v>110</v>
      </c>
      <c r="H70" s="12">
        <f>COUNTIF('Matriz Componentes'!$A$5:$A$135,A70)</f>
        <v>1</v>
      </c>
    </row>
    <row r="71" spans="1:8" ht="27.75" customHeight="1" x14ac:dyDescent="0.3">
      <c r="A71" s="10" t="s">
        <v>166</v>
      </c>
      <c r="B71" s="11" t="s">
        <v>112</v>
      </c>
      <c r="C71" s="10" t="s">
        <v>84</v>
      </c>
      <c r="D71" s="11" t="s">
        <v>19</v>
      </c>
      <c r="E71" s="11" t="s">
        <v>98</v>
      </c>
      <c r="F71" s="11" t="s">
        <v>113</v>
      </c>
      <c r="G71" s="11" t="s">
        <v>114</v>
      </c>
      <c r="H71" s="10">
        <f>COUNTIF('Matriz Componentes'!$A$5:$A$135,A71)</f>
        <v>1</v>
      </c>
    </row>
    <row r="72" spans="1:8" ht="27.75" customHeight="1" x14ac:dyDescent="0.3">
      <c r="A72" s="12" t="s">
        <v>167</v>
      </c>
      <c r="B72" s="13" t="s">
        <v>116</v>
      </c>
      <c r="C72" s="12" t="s">
        <v>84</v>
      </c>
      <c r="D72" s="13" t="s">
        <v>20</v>
      </c>
      <c r="E72" s="13" t="s">
        <v>98</v>
      </c>
      <c r="F72" s="13" t="s">
        <v>98</v>
      </c>
      <c r="G72" s="13" t="s">
        <v>117</v>
      </c>
      <c r="H72" s="12">
        <f>COUNTIF('Matriz Componentes'!$A$5:$A$135,A72)</f>
        <v>1</v>
      </c>
    </row>
    <row r="73" spans="1:8" ht="27.75" customHeight="1" x14ac:dyDescent="0.3">
      <c r="A73" s="10" t="s">
        <v>168</v>
      </c>
      <c r="B73" s="11" t="s">
        <v>83</v>
      </c>
      <c r="C73" s="10" t="s">
        <v>84</v>
      </c>
      <c r="D73" s="11" t="s">
        <v>17</v>
      </c>
      <c r="E73" s="11" t="s">
        <v>52</v>
      </c>
      <c r="F73" s="11" t="s">
        <v>47</v>
      </c>
      <c r="G73" s="11" t="s">
        <v>85</v>
      </c>
      <c r="H73" s="10">
        <f>COUNTIF('Matriz Componentes'!$A$5:$A$135,A73)</f>
        <v>1</v>
      </c>
    </row>
    <row r="74" spans="1:8" ht="27.75" customHeight="1" x14ac:dyDescent="0.3">
      <c r="A74" s="12" t="s">
        <v>169</v>
      </c>
      <c r="B74" s="13" t="s">
        <v>87</v>
      </c>
      <c r="C74" s="12" t="s">
        <v>84</v>
      </c>
      <c r="D74" s="13" t="s">
        <v>17</v>
      </c>
      <c r="E74" s="13" t="s">
        <v>52</v>
      </c>
      <c r="F74" s="13" t="s">
        <v>62</v>
      </c>
      <c r="G74" s="13" t="s">
        <v>89</v>
      </c>
      <c r="H74" s="12">
        <f>COUNTIF('Matriz Componentes'!$A$5:$A$135,A74)</f>
        <v>1</v>
      </c>
    </row>
    <row r="75" spans="1:8" ht="15" customHeight="1" x14ac:dyDescent="0.3">
      <c r="A75" s="10" t="s">
        <v>170</v>
      </c>
      <c r="B75" s="11" t="s">
        <v>91</v>
      </c>
      <c r="C75" s="10" t="s">
        <v>84</v>
      </c>
      <c r="D75" s="11" t="s">
        <v>18</v>
      </c>
      <c r="E75" s="11" t="s">
        <v>52</v>
      </c>
      <c r="F75" s="11" t="s">
        <v>88</v>
      </c>
      <c r="G75" s="11" t="s">
        <v>92</v>
      </c>
      <c r="H75" s="10">
        <f>COUNTIF('Matriz Componentes'!$A$5:$A$135,A75)</f>
        <v>1</v>
      </c>
    </row>
    <row r="76" spans="1:8" ht="27.75" customHeight="1" x14ac:dyDescent="0.3">
      <c r="A76" s="12" t="s">
        <v>171</v>
      </c>
      <c r="B76" s="13" t="s">
        <v>94</v>
      </c>
      <c r="C76" s="12" t="s">
        <v>84</v>
      </c>
      <c r="D76" s="13" t="s">
        <v>18</v>
      </c>
      <c r="E76" s="13" t="s">
        <v>52</v>
      </c>
      <c r="F76" s="13" t="s">
        <v>57</v>
      </c>
      <c r="G76" s="13" t="s">
        <v>95</v>
      </c>
      <c r="H76" s="12">
        <f>COUNTIF('Matriz Componentes'!$A$5:$A$135,A76)</f>
        <v>1</v>
      </c>
    </row>
    <row r="77" spans="1:8" ht="27.75" customHeight="1" x14ac:dyDescent="0.3">
      <c r="A77" s="10" t="s">
        <v>172</v>
      </c>
      <c r="B77" s="11" t="s">
        <v>97</v>
      </c>
      <c r="C77" s="10" t="s">
        <v>84</v>
      </c>
      <c r="D77" s="11" t="s">
        <v>17</v>
      </c>
      <c r="E77" s="11" t="s">
        <v>52</v>
      </c>
      <c r="F77" s="11" t="s">
        <v>80</v>
      </c>
      <c r="G77" s="11" t="s">
        <v>99</v>
      </c>
      <c r="H77" s="10">
        <f>COUNTIF('Matriz Componentes'!$A$5:$A$135,A77)</f>
        <v>1</v>
      </c>
    </row>
    <row r="78" spans="1:8" ht="27.75" customHeight="1" x14ac:dyDescent="0.3">
      <c r="A78" s="12" t="s">
        <v>173</v>
      </c>
      <c r="B78" s="13" t="s">
        <v>101</v>
      </c>
      <c r="C78" s="12" t="s">
        <v>84</v>
      </c>
      <c r="D78" s="13" t="s">
        <v>18</v>
      </c>
      <c r="E78" s="13" t="s">
        <v>52</v>
      </c>
      <c r="F78" s="13" t="s">
        <v>98</v>
      </c>
      <c r="G78" s="13" t="s">
        <v>102</v>
      </c>
      <c r="H78" s="12">
        <f>COUNTIF('Matriz Componentes'!$A$5:$A$135,A78)</f>
        <v>1</v>
      </c>
    </row>
    <row r="79" spans="1:8" ht="15" customHeight="1" x14ac:dyDescent="0.3">
      <c r="A79" s="10" t="s">
        <v>174</v>
      </c>
      <c r="B79" s="11" t="s">
        <v>104</v>
      </c>
      <c r="C79" s="10" t="s">
        <v>84</v>
      </c>
      <c r="D79" s="11" t="s">
        <v>17</v>
      </c>
      <c r="E79" s="11" t="s">
        <v>52</v>
      </c>
      <c r="F79" s="11" t="s">
        <v>105</v>
      </c>
      <c r="G79" s="11" t="s">
        <v>106</v>
      </c>
      <c r="H79" s="10">
        <f>COUNTIF('Matriz Componentes'!$A$5:$A$135,A79)</f>
        <v>1</v>
      </c>
    </row>
    <row r="80" spans="1:8" ht="15" customHeight="1" x14ac:dyDescent="0.3">
      <c r="A80" s="12" t="s">
        <v>175</v>
      </c>
      <c r="B80" s="13" t="s">
        <v>108</v>
      </c>
      <c r="C80" s="12" t="s">
        <v>84</v>
      </c>
      <c r="D80" s="13" t="s">
        <v>19</v>
      </c>
      <c r="E80" s="13" t="s">
        <v>52</v>
      </c>
      <c r="F80" s="13" t="s">
        <v>109</v>
      </c>
      <c r="G80" s="13" t="s">
        <v>110</v>
      </c>
      <c r="H80" s="12">
        <f>COUNTIF('Matriz Componentes'!$A$5:$A$135,A80)</f>
        <v>1</v>
      </c>
    </row>
    <row r="81" spans="1:8" ht="15" customHeight="1" x14ac:dyDescent="0.3">
      <c r="A81" s="10" t="s">
        <v>176</v>
      </c>
      <c r="B81" s="11" t="s">
        <v>112</v>
      </c>
      <c r="C81" s="10" t="s">
        <v>84</v>
      </c>
      <c r="D81" s="11" t="s">
        <v>19</v>
      </c>
      <c r="E81" s="11" t="s">
        <v>52</v>
      </c>
      <c r="F81" s="11" t="s">
        <v>113</v>
      </c>
      <c r="G81" s="11" t="s">
        <v>114</v>
      </c>
      <c r="H81" s="10">
        <f>COUNTIF('Matriz Componentes'!$A$5:$A$135,A81)</f>
        <v>1</v>
      </c>
    </row>
    <row r="82" spans="1:8" ht="15" customHeight="1" x14ac:dyDescent="0.3">
      <c r="A82" s="12" t="s">
        <v>177</v>
      </c>
      <c r="B82" s="13" t="s">
        <v>116</v>
      </c>
      <c r="C82" s="12" t="s">
        <v>84</v>
      </c>
      <c r="D82" s="13" t="s">
        <v>20</v>
      </c>
      <c r="E82" s="13" t="s">
        <v>52</v>
      </c>
      <c r="F82" s="13" t="s">
        <v>52</v>
      </c>
      <c r="G82" s="13" t="s">
        <v>117</v>
      </c>
      <c r="H82" s="12">
        <f>COUNTIF('Matriz Componentes'!$A$5:$A$135,A82)</f>
        <v>1</v>
      </c>
    </row>
    <row r="83" spans="1:8" ht="27.75" customHeight="1" x14ac:dyDescent="0.3">
      <c r="A83" s="10" t="s">
        <v>178</v>
      </c>
      <c r="B83" s="11" t="s">
        <v>83</v>
      </c>
      <c r="C83" s="10" t="s">
        <v>84</v>
      </c>
      <c r="D83" s="11" t="s">
        <v>17</v>
      </c>
      <c r="E83" s="11" t="s">
        <v>105</v>
      </c>
      <c r="F83" s="11" t="s">
        <v>47</v>
      </c>
      <c r="G83" s="11" t="s">
        <v>85</v>
      </c>
      <c r="H83" s="10">
        <f>COUNTIF('Matriz Componentes'!$A$5:$A$135,A83)</f>
        <v>1</v>
      </c>
    </row>
    <row r="84" spans="1:8" ht="27.75" customHeight="1" x14ac:dyDescent="0.3">
      <c r="A84" s="12" t="s">
        <v>179</v>
      </c>
      <c r="B84" s="13" t="s">
        <v>87</v>
      </c>
      <c r="C84" s="12" t="s">
        <v>84</v>
      </c>
      <c r="D84" s="13" t="s">
        <v>17</v>
      </c>
      <c r="E84" s="13" t="s">
        <v>105</v>
      </c>
      <c r="F84" s="13" t="s">
        <v>62</v>
      </c>
      <c r="G84" s="13" t="s">
        <v>89</v>
      </c>
      <c r="H84" s="12">
        <f>COUNTIF('Matriz Componentes'!$A$5:$A$135,A84)</f>
        <v>1</v>
      </c>
    </row>
    <row r="85" spans="1:8" ht="15" customHeight="1" x14ac:dyDescent="0.3">
      <c r="A85" s="10" t="s">
        <v>180</v>
      </c>
      <c r="B85" s="11" t="s">
        <v>91</v>
      </c>
      <c r="C85" s="10" t="s">
        <v>84</v>
      </c>
      <c r="D85" s="11" t="s">
        <v>18</v>
      </c>
      <c r="E85" s="11" t="s">
        <v>105</v>
      </c>
      <c r="F85" s="11" t="s">
        <v>88</v>
      </c>
      <c r="G85" s="11" t="s">
        <v>92</v>
      </c>
      <c r="H85" s="10">
        <f>COUNTIF('Matriz Componentes'!$A$5:$A$135,A85)</f>
        <v>1</v>
      </c>
    </row>
    <row r="86" spans="1:8" ht="27.75" customHeight="1" x14ac:dyDescent="0.3">
      <c r="A86" s="12" t="s">
        <v>181</v>
      </c>
      <c r="B86" s="13" t="s">
        <v>94</v>
      </c>
      <c r="C86" s="12" t="s">
        <v>84</v>
      </c>
      <c r="D86" s="13" t="s">
        <v>18</v>
      </c>
      <c r="E86" s="13" t="s">
        <v>105</v>
      </c>
      <c r="F86" s="13" t="s">
        <v>57</v>
      </c>
      <c r="G86" s="13" t="s">
        <v>95</v>
      </c>
      <c r="H86" s="12">
        <f>COUNTIF('Matriz Componentes'!$A$5:$A$135,A86)</f>
        <v>1</v>
      </c>
    </row>
    <row r="87" spans="1:8" ht="27.75" customHeight="1" x14ac:dyDescent="0.3">
      <c r="A87" s="10" t="s">
        <v>182</v>
      </c>
      <c r="B87" s="11" t="s">
        <v>97</v>
      </c>
      <c r="C87" s="10" t="s">
        <v>84</v>
      </c>
      <c r="D87" s="11" t="s">
        <v>17</v>
      </c>
      <c r="E87" s="11" t="s">
        <v>105</v>
      </c>
      <c r="F87" s="11" t="s">
        <v>80</v>
      </c>
      <c r="G87" s="11" t="s">
        <v>99</v>
      </c>
      <c r="H87" s="10">
        <f>COUNTIF('Matriz Componentes'!$A$5:$A$135,A87)</f>
        <v>1</v>
      </c>
    </row>
    <row r="88" spans="1:8" ht="27.75" customHeight="1" x14ac:dyDescent="0.3">
      <c r="A88" s="12" t="s">
        <v>183</v>
      </c>
      <c r="B88" s="13" t="s">
        <v>101</v>
      </c>
      <c r="C88" s="12" t="s">
        <v>84</v>
      </c>
      <c r="D88" s="13" t="s">
        <v>18</v>
      </c>
      <c r="E88" s="13" t="s">
        <v>105</v>
      </c>
      <c r="F88" s="13" t="s">
        <v>98</v>
      </c>
      <c r="G88" s="13" t="s">
        <v>102</v>
      </c>
      <c r="H88" s="12">
        <f>COUNTIF('Matriz Componentes'!$A$5:$A$135,A88)</f>
        <v>1</v>
      </c>
    </row>
    <row r="89" spans="1:8" ht="15" customHeight="1" x14ac:dyDescent="0.3">
      <c r="A89" s="10" t="s">
        <v>184</v>
      </c>
      <c r="B89" s="11" t="s">
        <v>104</v>
      </c>
      <c r="C89" s="10" t="s">
        <v>84</v>
      </c>
      <c r="D89" s="11" t="s">
        <v>17</v>
      </c>
      <c r="E89" s="11" t="s">
        <v>105</v>
      </c>
      <c r="F89" s="11" t="s">
        <v>52</v>
      </c>
      <c r="G89" s="11" t="s">
        <v>106</v>
      </c>
      <c r="H89" s="10">
        <f>COUNTIF('Matriz Componentes'!$A$5:$A$135,A89)</f>
        <v>1</v>
      </c>
    </row>
    <row r="90" spans="1:8" ht="15" customHeight="1" x14ac:dyDescent="0.3">
      <c r="A90" s="12" t="s">
        <v>185</v>
      </c>
      <c r="B90" s="13" t="s">
        <v>108</v>
      </c>
      <c r="C90" s="12" t="s">
        <v>84</v>
      </c>
      <c r="D90" s="13" t="s">
        <v>19</v>
      </c>
      <c r="E90" s="13" t="s">
        <v>105</v>
      </c>
      <c r="F90" s="13" t="s">
        <v>109</v>
      </c>
      <c r="G90" s="13" t="s">
        <v>110</v>
      </c>
      <c r="H90" s="12">
        <f>COUNTIF('Matriz Componentes'!$A$5:$A$135,A90)</f>
        <v>1</v>
      </c>
    </row>
    <row r="91" spans="1:8" ht="15" customHeight="1" x14ac:dyDescent="0.3">
      <c r="A91" s="10" t="s">
        <v>186</v>
      </c>
      <c r="B91" s="11" t="s">
        <v>112</v>
      </c>
      <c r="C91" s="10" t="s">
        <v>84</v>
      </c>
      <c r="D91" s="11" t="s">
        <v>19</v>
      </c>
      <c r="E91" s="11" t="s">
        <v>105</v>
      </c>
      <c r="F91" s="11" t="s">
        <v>113</v>
      </c>
      <c r="G91" s="11" t="s">
        <v>114</v>
      </c>
      <c r="H91" s="10">
        <f>COUNTIF('Matriz Componentes'!$A$5:$A$135,A91)</f>
        <v>1</v>
      </c>
    </row>
    <row r="92" spans="1:8" ht="15" customHeight="1" x14ac:dyDescent="0.3">
      <c r="A92" s="12" t="s">
        <v>187</v>
      </c>
      <c r="B92" s="13" t="s">
        <v>116</v>
      </c>
      <c r="C92" s="12" t="s">
        <v>84</v>
      </c>
      <c r="D92" s="13" t="s">
        <v>20</v>
      </c>
      <c r="E92" s="13" t="s">
        <v>105</v>
      </c>
      <c r="F92" s="13" t="s">
        <v>105</v>
      </c>
      <c r="G92" s="13" t="s">
        <v>117</v>
      </c>
      <c r="H92" s="12">
        <f>COUNTIF('Matriz Componentes'!$A$5:$A$135,A92)</f>
        <v>1</v>
      </c>
    </row>
    <row r="93" spans="1:8" ht="27.75" customHeight="1" x14ac:dyDescent="0.3">
      <c r="A93" s="10" t="s">
        <v>188</v>
      </c>
      <c r="B93" s="11" t="s">
        <v>83</v>
      </c>
      <c r="C93" s="10" t="s">
        <v>84</v>
      </c>
      <c r="D93" s="11" t="s">
        <v>17</v>
      </c>
      <c r="E93" s="11" t="s">
        <v>109</v>
      </c>
      <c r="F93" s="11" t="s">
        <v>47</v>
      </c>
      <c r="G93" s="11" t="s">
        <v>85</v>
      </c>
      <c r="H93" s="10">
        <f>COUNTIF('Matriz Componentes'!$A$5:$A$135,A93)</f>
        <v>1</v>
      </c>
    </row>
    <row r="94" spans="1:8" ht="27.75" customHeight="1" x14ac:dyDescent="0.3">
      <c r="A94" s="12" t="s">
        <v>189</v>
      </c>
      <c r="B94" s="13" t="s">
        <v>87</v>
      </c>
      <c r="C94" s="12" t="s">
        <v>84</v>
      </c>
      <c r="D94" s="13" t="s">
        <v>17</v>
      </c>
      <c r="E94" s="13" t="s">
        <v>109</v>
      </c>
      <c r="F94" s="13" t="s">
        <v>62</v>
      </c>
      <c r="G94" s="13" t="s">
        <v>89</v>
      </c>
      <c r="H94" s="12">
        <f>COUNTIF('Matriz Componentes'!$A$5:$A$135,A94)</f>
        <v>1</v>
      </c>
    </row>
    <row r="95" spans="1:8" ht="15" customHeight="1" x14ac:dyDescent="0.3">
      <c r="A95" s="10" t="s">
        <v>190</v>
      </c>
      <c r="B95" s="11" t="s">
        <v>91</v>
      </c>
      <c r="C95" s="10" t="s">
        <v>84</v>
      </c>
      <c r="D95" s="11" t="s">
        <v>18</v>
      </c>
      <c r="E95" s="11" t="s">
        <v>109</v>
      </c>
      <c r="F95" s="11" t="s">
        <v>88</v>
      </c>
      <c r="G95" s="11" t="s">
        <v>92</v>
      </c>
      <c r="H95" s="10">
        <f>COUNTIF('Matriz Componentes'!$A$5:$A$135,A95)</f>
        <v>1</v>
      </c>
    </row>
    <row r="96" spans="1:8" ht="27.75" customHeight="1" x14ac:dyDescent="0.3">
      <c r="A96" s="12" t="s">
        <v>191</v>
      </c>
      <c r="B96" s="13" t="s">
        <v>94</v>
      </c>
      <c r="C96" s="12" t="s">
        <v>84</v>
      </c>
      <c r="D96" s="13" t="s">
        <v>18</v>
      </c>
      <c r="E96" s="13" t="s">
        <v>109</v>
      </c>
      <c r="F96" s="13" t="s">
        <v>57</v>
      </c>
      <c r="G96" s="13" t="s">
        <v>95</v>
      </c>
      <c r="H96" s="12">
        <f>COUNTIF('Matriz Componentes'!$A$5:$A$135,A96)</f>
        <v>1</v>
      </c>
    </row>
    <row r="97" spans="1:8" ht="27.75" customHeight="1" x14ac:dyDescent="0.3">
      <c r="A97" s="10" t="s">
        <v>192</v>
      </c>
      <c r="B97" s="11" t="s">
        <v>97</v>
      </c>
      <c r="C97" s="10" t="s">
        <v>84</v>
      </c>
      <c r="D97" s="11" t="s">
        <v>17</v>
      </c>
      <c r="E97" s="11" t="s">
        <v>109</v>
      </c>
      <c r="F97" s="11" t="s">
        <v>80</v>
      </c>
      <c r="G97" s="11" t="s">
        <v>99</v>
      </c>
      <c r="H97" s="10">
        <f>COUNTIF('Matriz Componentes'!$A$5:$A$135,A97)</f>
        <v>1</v>
      </c>
    </row>
    <row r="98" spans="1:8" ht="27.75" customHeight="1" x14ac:dyDescent="0.3">
      <c r="A98" s="12" t="s">
        <v>193</v>
      </c>
      <c r="B98" s="13" t="s">
        <v>101</v>
      </c>
      <c r="C98" s="12" t="s">
        <v>84</v>
      </c>
      <c r="D98" s="13" t="s">
        <v>18</v>
      </c>
      <c r="E98" s="13" t="s">
        <v>109</v>
      </c>
      <c r="F98" s="13" t="s">
        <v>98</v>
      </c>
      <c r="G98" s="13" t="s">
        <v>102</v>
      </c>
      <c r="H98" s="12">
        <f>COUNTIF('Matriz Componentes'!$A$5:$A$135,A98)</f>
        <v>1</v>
      </c>
    </row>
    <row r="99" spans="1:8" ht="15" customHeight="1" x14ac:dyDescent="0.3">
      <c r="A99" s="10" t="s">
        <v>194</v>
      </c>
      <c r="B99" s="11" t="s">
        <v>104</v>
      </c>
      <c r="C99" s="10" t="s">
        <v>84</v>
      </c>
      <c r="D99" s="11" t="s">
        <v>17</v>
      </c>
      <c r="E99" s="11" t="s">
        <v>109</v>
      </c>
      <c r="F99" s="11" t="s">
        <v>52</v>
      </c>
      <c r="G99" s="11" t="s">
        <v>106</v>
      </c>
      <c r="H99" s="10">
        <f>COUNTIF('Matriz Componentes'!$A$5:$A$135,A99)</f>
        <v>1</v>
      </c>
    </row>
    <row r="100" spans="1:8" ht="15" customHeight="1" x14ac:dyDescent="0.3">
      <c r="A100" s="12" t="s">
        <v>195</v>
      </c>
      <c r="B100" s="13" t="s">
        <v>108</v>
      </c>
      <c r="C100" s="12" t="s">
        <v>84</v>
      </c>
      <c r="D100" s="13" t="s">
        <v>19</v>
      </c>
      <c r="E100" s="13" t="s">
        <v>109</v>
      </c>
      <c r="F100" s="13" t="s">
        <v>105</v>
      </c>
      <c r="G100" s="13" t="s">
        <v>110</v>
      </c>
      <c r="H100" s="12">
        <f>COUNTIF('Matriz Componentes'!$A$5:$A$135,A100)</f>
        <v>1</v>
      </c>
    </row>
    <row r="101" spans="1:8" ht="15" customHeight="1" x14ac:dyDescent="0.3">
      <c r="A101" s="10" t="s">
        <v>196</v>
      </c>
      <c r="B101" s="11" t="s">
        <v>112</v>
      </c>
      <c r="C101" s="10" t="s">
        <v>84</v>
      </c>
      <c r="D101" s="11" t="s">
        <v>19</v>
      </c>
      <c r="E101" s="11" t="s">
        <v>109</v>
      </c>
      <c r="F101" s="11" t="s">
        <v>113</v>
      </c>
      <c r="G101" s="11" t="s">
        <v>114</v>
      </c>
      <c r="H101" s="10">
        <f>COUNTIF('Matriz Componentes'!$A$5:$A$135,A101)</f>
        <v>1</v>
      </c>
    </row>
    <row r="102" spans="1:8" ht="15" customHeight="1" x14ac:dyDescent="0.3">
      <c r="A102" s="12" t="s">
        <v>197</v>
      </c>
      <c r="B102" s="13" t="s">
        <v>116</v>
      </c>
      <c r="C102" s="12" t="s">
        <v>84</v>
      </c>
      <c r="D102" s="13" t="s">
        <v>20</v>
      </c>
      <c r="E102" s="13" t="s">
        <v>109</v>
      </c>
      <c r="F102" s="13" t="s">
        <v>109</v>
      </c>
      <c r="G102" s="13" t="s">
        <v>117</v>
      </c>
      <c r="H102" s="12">
        <f>COUNTIF('Matriz Componentes'!$A$5:$A$135,A102)</f>
        <v>1</v>
      </c>
    </row>
    <row r="103" spans="1:8" ht="27.75" customHeight="1" x14ac:dyDescent="0.3">
      <c r="A103" s="10" t="s">
        <v>198</v>
      </c>
      <c r="B103" s="11" t="s">
        <v>83</v>
      </c>
      <c r="C103" s="10" t="s">
        <v>84</v>
      </c>
      <c r="D103" s="11" t="s">
        <v>17</v>
      </c>
      <c r="E103" s="11" t="s">
        <v>113</v>
      </c>
      <c r="F103" s="11" t="s">
        <v>47</v>
      </c>
      <c r="G103" s="11" t="s">
        <v>85</v>
      </c>
      <c r="H103" s="10">
        <f>COUNTIF('Matriz Componentes'!$A$5:$A$135,A103)</f>
        <v>1</v>
      </c>
    </row>
    <row r="104" spans="1:8" ht="27.75" customHeight="1" x14ac:dyDescent="0.3">
      <c r="A104" s="12" t="s">
        <v>199</v>
      </c>
      <c r="B104" s="13" t="s">
        <v>87</v>
      </c>
      <c r="C104" s="12" t="s">
        <v>84</v>
      </c>
      <c r="D104" s="13" t="s">
        <v>17</v>
      </c>
      <c r="E104" s="13" t="s">
        <v>113</v>
      </c>
      <c r="F104" s="13" t="s">
        <v>62</v>
      </c>
      <c r="G104" s="13" t="s">
        <v>89</v>
      </c>
      <c r="H104" s="12">
        <f>COUNTIF('Matriz Componentes'!$A$5:$A$135,A104)</f>
        <v>1</v>
      </c>
    </row>
    <row r="105" spans="1:8" ht="15" customHeight="1" x14ac:dyDescent="0.3">
      <c r="A105" s="10" t="s">
        <v>200</v>
      </c>
      <c r="B105" s="11" t="s">
        <v>91</v>
      </c>
      <c r="C105" s="10" t="s">
        <v>84</v>
      </c>
      <c r="D105" s="11" t="s">
        <v>18</v>
      </c>
      <c r="E105" s="11" t="s">
        <v>113</v>
      </c>
      <c r="F105" s="11" t="s">
        <v>88</v>
      </c>
      <c r="G105" s="11" t="s">
        <v>92</v>
      </c>
      <c r="H105" s="10">
        <f>COUNTIF('Matriz Componentes'!$A$5:$A$135,A105)</f>
        <v>1</v>
      </c>
    </row>
    <row r="106" spans="1:8" ht="27.75" customHeight="1" x14ac:dyDescent="0.3">
      <c r="A106" s="12" t="s">
        <v>201</v>
      </c>
      <c r="B106" s="13" t="s">
        <v>94</v>
      </c>
      <c r="C106" s="12" t="s">
        <v>84</v>
      </c>
      <c r="D106" s="13" t="s">
        <v>18</v>
      </c>
      <c r="E106" s="13" t="s">
        <v>113</v>
      </c>
      <c r="F106" s="13" t="s">
        <v>57</v>
      </c>
      <c r="G106" s="13" t="s">
        <v>95</v>
      </c>
      <c r="H106" s="12">
        <f>COUNTIF('Matriz Componentes'!$A$5:$A$135,A106)</f>
        <v>1</v>
      </c>
    </row>
    <row r="107" spans="1:8" ht="27.75" customHeight="1" x14ac:dyDescent="0.3">
      <c r="A107" s="10" t="s">
        <v>202</v>
      </c>
      <c r="B107" s="11" t="s">
        <v>97</v>
      </c>
      <c r="C107" s="10" t="s">
        <v>84</v>
      </c>
      <c r="D107" s="11" t="s">
        <v>17</v>
      </c>
      <c r="E107" s="11" t="s">
        <v>113</v>
      </c>
      <c r="F107" s="11" t="s">
        <v>80</v>
      </c>
      <c r="G107" s="11" t="s">
        <v>99</v>
      </c>
      <c r="H107" s="10">
        <f>COUNTIF('Matriz Componentes'!$A$5:$A$135,A107)</f>
        <v>1</v>
      </c>
    </row>
    <row r="108" spans="1:8" ht="27.75" customHeight="1" x14ac:dyDescent="0.3">
      <c r="A108" s="12" t="s">
        <v>203</v>
      </c>
      <c r="B108" s="13" t="s">
        <v>101</v>
      </c>
      <c r="C108" s="12" t="s">
        <v>84</v>
      </c>
      <c r="D108" s="13" t="s">
        <v>18</v>
      </c>
      <c r="E108" s="13" t="s">
        <v>113</v>
      </c>
      <c r="F108" s="13" t="s">
        <v>98</v>
      </c>
      <c r="G108" s="13" t="s">
        <v>102</v>
      </c>
      <c r="H108" s="12">
        <f>COUNTIF('Matriz Componentes'!$A$5:$A$135,A108)</f>
        <v>1</v>
      </c>
    </row>
    <row r="109" spans="1:8" ht="15" customHeight="1" x14ac:dyDescent="0.3">
      <c r="A109" s="10" t="s">
        <v>204</v>
      </c>
      <c r="B109" s="11" t="s">
        <v>104</v>
      </c>
      <c r="C109" s="10" t="s">
        <v>84</v>
      </c>
      <c r="D109" s="11" t="s">
        <v>17</v>
      </c>
      <c r="E109" s="11" t="s">
        <v>113</v>
      </c>
      <c r="F109" s="11" t="s">
        <v>52</v>
      </c>
      <c r="G109" s="11" t="s">
        <v>106</v>
      </c>
      <c r="H109" s="10">
        <f>COUNTIF('Matriz Componentes'!$A$5:$A$135,A109)</f>
        <v>1</v>
      </c>
    </row>
    <row r="110" spans="1:8" ht="15" customHeight="1" x14ac:dyDescent="0.3">
      <c r="A110" s="12" t="s">
        <v>205</v>
      </c>
      <c r="B110" s="13" t="s">
        <v>108</v>
      </c>
      <c r="C110" s="12" t="s">
        <v>84</v>
      </c>
      <c r="D110" s="13" t="s">
        <v>19</v>
      </c>
      <c r="E110" s="13" t="s">
        <v>113</v>
      </c>
      <c r="F110" s="13" t="s">
        <v>105</v>
      </c>
      <c r="G110" s="13" t="s">
        <v>110</v>
      </c>
      <c r="H110" s="12">
        <f>COUNTIF('Matriz Componentes'!$A$5:$A$135,A110)</f>
        <v>1</v>
      </c>
    </row>
    <row r="111" spans="1:8" ht="15" customHeight="1" x14ac:dyDescent="0.3">
      <c r="A111" s="10" t="s">
        <v>206</v>
      </c>
      <c r="B111" s="11" t="s">
        <v>112</v>
      </c>
      <c r="C111" s="10" t="s">
        <v>84</v>
      </c>
      <c r="D111" s="11" t="s">
        <v>19</v>
      </c>
      <c r="E111" s="11" t="s">
        <v>113</v>
      </c>
      <c r="F111" s="11" t="s">
        <v>109</v>
      </c>
      <c r="G111" s="11" t="s">
        <v>114</v>
      </c>
      <c r="H111" s="10">
        <f>COUNTIF('Matriz Componentes'!$A$5:$A$135,A111)</f>
        <v>1</v>
      </c>
    </row>
    <row r="112" spans="1:8" ht="15" customHeight="1" x14ac:dyDescent="0.3">
      <c r="A112" s="12" t="s">
        <v>207</v>
      </c>
      <c r="B112" s="13" t="s">
        <v>116</v>
      </c>
      <c r="C112" s="12" t="s">
        <v>84</v>
      </c>
      <c r="D112" s="13" t="s">
        <v>20</v>
      </c>
      <c r="E112" s="13" t="s">
        <v>113</v>
      </c>
      <c r="F112" s="13" t="s">
        <v>113</v>
      </c>
      <c r="G112" s="13" t="s">
        <v>117</v>
      </c>
      <c r="H112" s="12">
        <f>COUNTIF('Matriz Componentes'!$A$5:$A$135,A112)</f>
        <v>1</v>
      </c>
    </row>
  </sheetData>
  <autoFilter ref="A4:H112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35"/>
  <sheetViews>
    <sheetView showGridLines="0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baseColWidth="10" defaultColWidth="8.6640625" defaultRowHeight="14.4" x14ac:dyDescent="0.3"/>
  <cols>
    <col min="1" max="1" width="14" customWidth="1"/>
    <col min="2" max="2" width="34" customWidth="1"/>
    <col min="3" max="3" width="10" customWidth="1"/>
    <col min="4" max="4" width="58" customWidth="1"/>
    <col min="5" max="5" width="10" customWidth="1"/>
    <col min="6" max="6" width="46" customWidth="1"/>
    <col min="7" max="7" width="58" customWidth="1"/>
    <col min="8" max="8" width="13" customWidth="1"/>
    <col min="9" max="9" width="11" customWidth="1"/>
  </cols>
  <sheetData>
    <row r="1" spans="1:9" ht="17.399999999999999" x14ac:dyDescent="0.3">
      <c r="A1" s="1" t="s">
        <v>208</v>
      </c>
    </row>
    <row r="2" spans="1:9" x14ac:dyDescent="0.3">
      <c r="A2" s="2" t="s">
        <v>209</v>
      </c>
    </row>
    <row r="4" spans="1:9" ht="26.4" x14ac:dyDescent="0.3">
      <c r="A4" s="3" t="s">
        <v>210</v>
      </c>
      <c r="B4" s="3" t="s">
        <v>37</v>
      </c>
      <c r="C4" s="3" t="s">
        <v>38</v>
      </c>
      <c r="D4" s="3" t="s">
        <v>211</v>
      </c>
      <c r="E4" s="3" t="s">
        <v>212</v>
      </c>
      <c r="F4" s="3" t="s">
        <v>213</v>
      </c>
      <c r="G4" s="3" t="s">
        <v>214</v>
      </c>
      <c r="H4" s="3" t="s">
        <v>215</v>
      </c>
      <c r="I4" s="3" t="s">
        <v>216</v>
      </c>
    </row>
    <row r="5" spans="1:9" ht="54" customHeight="1" x14ac:dyDescent="0.3">
      <c r="A5" s="10" t="s">
        <v>82</v>
      </c>
      <c r="B5" s="11" t="s">
        <v>217</v>
      </c>
      <c r="C5" s="10" t="s">
        <v>84</v>
      </c>
      <c r="D5" s="11" t="s">
        <v>218</v>
      </c>
      <c r="E5" s="14" t="s">
        <v>219</v>
      </c>
      <c r="F5" s="11" t="s">
        <v>220</v>
      </c>
      <c r="G5" s="11" t="s">
        <v>221</v>
      </c>
      <c r="H5" s="10" t="s">
        <v>222</v>
      </c>
      <c r="I5" s="10">
        <v>200</v>
      </c>
    </row>
    <row r="6" spans="1:9" ht="54" customHeight="1" x14ac:dyDescent="0.3">
      <c r="A6" s="12" t="s">
        <v>86</v>
      </c>
      <c r="B6" s="13" t="s">
        <v>223</v>
      </c>
      <c r="C6" s="12" t="s">
        <v>84</v>
      </c>
      <c r="D6" s="13" t="s">
        <v>224</v>
      </c>
      <c r="E6" s="14" t="s">
        <v>219</v>
      </c>
      <c r="F6" s="13" t="s">
        <v>225</v>
      </c>
      <c r="G6" s="13" t="s">
        <v>226</v>
      </c>
      <c r="H6" s="12" t="s">
        <v>222</v>
      </c>
      <c r="I6" s="12">
        <v>200</v>
      </c>
    </row>
    <row r="7" spans="1:9" ht="40.5" customHeight="1" x14ac:dyDescent="0.3">
      <c r="A7" s="10" t="s">
        <v>90</v>
      </c>
      <c r="B7" s="11" t="s">
        <v>227</v>
      </c>
      <c r="C7" s="10" t="s">
        <v>84</v>
      </c>
      <c r="D7" s="11" t="s">
        <v>228</v>
      </c>
      <c r="E7" s="15" t="s">
        <v>229</v>
      </c>
      <c r="F7" s="11" t="s">
        <v>230</v>
      </c>
      <c r="G7" s="11" t="s">
        <v>231</v>
      </c>
      <c r="H7" s="10" t="s">
        <v>222</v>
      </c>
      <c r="I7" s="10">
        <v>201</v>
      </c>
    </row>
    <row r="8" spans="1:9" ht="40.5" customHeight="1" x14ac:dyDescent="0.3">
      <c r="A8" s="12" t="s">
        <v>93</v>
      </c>
      <c r="B8" s="13" t="s">
        <v>232</v>
      </c>
      <c r="C8" s="12" t="s">
        <v>84</v>
      </c>
      <c r="D8" s="13" t="s">
        <v>233</v>
      </c>
      <c r="E8" s="16" t="s">
        <v>234</v>
      </c>
      <c r="F8" s="13" t="s">
        <v>235</v>
      </c>
      <c r="G8" s="13" t="s">
        <v>236</v>
      </c>
      <c r="H8" s="12" t="s">
        <v>222</v>
      </c>
      <c r="I8" s="12">
        <v>200</v>
      </c>
    </row>
    <row r="9" spans="1:9" ht="54" customHeight="1" x14ac:dyDescent="0.3">
      <c r="A9" s="10" t="s">
        <v>96</v>
      </c>
      <c r="B9" s="11" t="s">
        <v>237</v>
      </c>
      <c r="C9" s="10" t="s">
        <v>84</v>
      </c>
      <c r="D9" s="11" t="s">
        <v>238</v>
      </c>
      <c r="E9" s="14" t="s">
        <v>219</v>
      </c>
      <c r="F9" s="11" t="s">
        <v>239</v>
      </c>
      <c r="G9" s="11" t="s">
        <v>240</v>
      </c>
      <c r="H9" s="10" t="s">
        <v>222</v>
      </c>
      <c r="I9" s="10">
        <v>200</v>
      </c>
    </row>
    <row r="10" spans="1:9" ht="40.5" customHeight="1" x14ac:dyDescent="0.3">
      <c r="A10" s="12" t="s">
        <v>100</v>
      </c>
      <c r="B10" s="13" t="s">
        <v>241</v>
      </c>
      <c r="C10" s="12" t="s">
        <v>84</v>
      </c>
      <c r="D10" s="13" t="s">
        <v>242</v>
      </c>
      <c r="E10" s="16" t="s">
        <v>234</v>
      </c>
      <c r="F10" s="13" t="s">
        <v>243</v>
      </c>
      <c r="G10" s="13" t="s">
        <v>244</v>
      </c>
      <c r="H10" s="12" t="s">
        <v>222</v>
      </c>
      <c r="I10" s="12">
        <v>200</v>
      </c>
    </row>
    <row r="11" spans="1:9" ht="40.5" customHeight="1" x14ac:dyDescent="0.3">
      <c r="A11" s="10" t="s">
        <v>103</v>
      </c>
      <c r="B11" s="11" t="s">
        <v>245</v>
      </c>
      <c r="C11" s="10" t="s">
        <v>84</v>
      </c>
      <c r="D11" s="11" t="s">
        <v>246</v>
      </c>
      <c r="E11" s="14" t="s">
        <v>219</v>
      </c>
      <c r="F11" s="11" t="s">
        <v>247</v>
      </c>
      <c r="G11" s="11" t="s">
        <v>248</v>
      </c>
      <c r="H11" s="10" t="s">
        <v>222</v>
      </c>
      <c r="I11" s="10">
        <v>200</v>
      </c>
    </row>
    <row r="12" spans="1:9" ht="54" customHeight="1" x14ac:dyDescent="0.3">
      <c r="A12" s="12" t="s">
        <v>107</v>
      </c>
      <c r="B12" s="13" t="s">
        <v>249</v>
      </c>
      <c r="C12" s="12" t="s">
        <v>84</v>
      </c>
      <c r="D12" s="13" t="s">
        <v>250</v>
      </c>
      <c r="E12" s="15" t="s">
        <v>229</v>
      </c>
      <c r="F12" s="13" t="s">
        <v>251</v>
      </c>
      <c r="G12" s="13" t="s">
        <v>252</v>
      </c>
      <c r="H12" s="12" t="s">
        <v>222</v>
      </c>
      <c r="I12" s="12">
        <v>201</v>
      </c>
    </row>
    <row r="13" spans="1:9" ht="54" customHeight="1" x14ac:dyDescent="0.3">
      <c r="A13" s="10" t="s">
        <v>111</v>
      </c>
      <c r="B13" s="11" t="s">
        <v>253</v>
      </c>
      <c r="C13" s="10" t="s">
        <v>84</v>
      </c>
      <c r="D13" s="11" t="s">
        <v>254</v>
      </c>
      <c r="E13" s="17" t="s">
        <v>255</v>
      </c>
      <c r="F13" s="11" t="s">
        <v>256</v>
      </c>
      <c r="G13" s="11" t="s">
        <v>257</v>
      </c>
      <c r="H13" s="10" t="s">
        <v>222</v>
      </c>
      <c r="I13" s="10">
        <v>204</v>
      </c>
    </row>
    <row r="14" spans="1:9" ht="40.5" customHeight="1" x14ac:dyDescent="0.3">
      <c r="A14" s="12" t="s">
        <v>115</v>
      </c>
      <c r="B14" s="13" t="s">
        <v>258</v>
      </c>
      <c r="C14" s="12" t="s">
        <v>84</v>
      </c>
      <c r="D14" s="13" t="s">
        <v>259</v>
      </c>
      <c r="E14" s="15" t="s">
        <v>229</v>
      </c>
      <c r="F14" s="13" t="s">
        <v>260</v>
      </c>
      <c r="G14" s="13" t="s">
        <v>261</v>
      </c>
      <c r="H14" s="12" t="s">
        <v>222</v>
      </c>
      <c r="I14" s="12">
        <v>202</v>
      </c>
    </row>
    <row r="15" spans="1:9" ht="40.5" customHeight="1" x14ac:dyDescent="0.3">
      <c r="A15" s="10" t="s">
        <v>118</v>
      </c>
      <c r="B15" s="11" t="s">
        <v>262</v>
      </c>
      <c r="C15" s="10" t="s">
        <v>84</v>
      </c>
      <c r="D15" s="11" t="s">
        <v>263</v>
      </c>
      <c r="E15" s="14" t="s">
        <v>219</v>
      </c>
      <c r="F15" s="11" t="s">
        <v>264</v>
      </c>
      <c r="G15" s="11" t="s">
        <v>221</v>
      </c>
      <c r="H15" s="10" t="s">
        <v>222</v>
      </c>
      <c r="I15" s="10">
        <v>200</v>
      </c>
    </row>
    <row r="16" spans="1:9" ht="54" customHeight="1" x14ac:dyDescent="0.3">
      <c r="A16" s="12" t="s">
        <v>119</v>
      </c>
      <c r="B16" s="13" t="s">
        <v>265</v>
      </c>
      <c r="C16" s="12" t="s">
        <v>84</v>
      </c>
      <c r="D16" s="13" t="s">
        <v>266</v>
      </c>
      <c r="E16" s="14" t="s">
        <v>219</v>
      </c>
      <c r="F16" s="13" t="s">
        <v>225</v>
      </c>
      <c r="G16" s="13" t="s">
        <v>226</v>
      </c>
      <c r="H16" s="12" t="s">
        <v>222</v>
      </c>
      <c r="I16" s="12">
        <v>200</v>
      </c>
    </row>
    <row r="17" spans="1:9" ht="40.5" customHeight="1" x14ac:dyDescent="0.3">
      <c r="A17" s="10" t="s">
        <v>120</v>
      </c>
      <c r="B17" s="11" t="s">
        <v>267</v>
      </c>
      <c r="C17" s="10" t="s">
        <v>84</v>
      </c>
      <c r="D17" s="11" t="s">
        <v>268</v>
      </c>
      <c r="E17" s="15" t="s">
        <v>229</v>
      </c>
      <c r="F17" s="11" t="s">
        <v>230</v>
      </c>
      <c r="G17" s="11" t="s">
        <v>231</v>
      </c>
      <c r="H17" s="10" t="s">
        <v>222</v>
      </c>
      <c r="I17" s="10">
        <v>201</v>
      </c>
    </row>
    <row r="18" spans="1:9" ht="40.5" customHeight="1" x14ac:dyDescent="0.3">
      <c r="A18" s="12" t="s">
        <v>121</v>
      </c>
      <c r="B18" s="13" t="s">
        <v>269</v>
      </c>
      <c r="C18" s="12" t="s">
        <v>84</v>
      </c>
      <c r="D18" s="13" t="s">
        <v>270</v>
      </c>
      <c r="E18" s="16" t="s">
        <v>234</v>
      </c>
      <c r="F18" s="13" t="s">
        <v>235</v>
      </c>
      <c r="G18" s="13" t="s">
        <v>236</v>
      </c>
      <c r="H18" s="12" t="s">
        <v>222</v>
      </c>
      <c r="I18" s="12">
        <v>200</v>
      </c>
    </row>
    <row r="19" spans="1:9" ht="54" customHeight="1" x14ac:dyDescent="0.3">
      <c r="A19" s="10" t="s">
        <v>122</v>
      </c>
      <c r="B19" s="11" t="s">
        <v>271</v>
      </c>
      <c r="C19" s="10" t="s">
        <v>84</v>
      </c>
      <c r="D19" s="11" t="s">
        <v>272</v>
      </c>
      <c r="E19" s="14" t="s">
        <v>219</v>
      </c>
      <c r="F19" s="11" t="s">
        <v>239</v>
      </c>
      <c r="G19" s="11" t="s">
        <v>240</v>
      </c>
      <c r="H19" s="10" t="s">
        <v>222</v>
      </c>
      <c r="I19" s="10">
        <v>200</v>
      </c>
    </row>
    <row r="20" spans="1:9" ht="40.5" customHeight="1" x14ac:dyDescent="0.3">
      <c r="A20" s="12" t="s">
        <v>123</v>
      </c>
      <c r="B20" s="13" t="s">
        <v>273</v>
      </c>
      <c r="C20" s="12" t="s">
        <v>84</v>
      </c>
      <c r="D20" s="13" t="s">
        <v>274</v>
      </c>
      <c r="E20" s="16" t="s">
        <v>234</v>
      </c>
      <c r="F20" s="13" t="s">
        <v>243</v>
      </c>
      <c r="G20" s="13" t="s">
        <v>244</v>
      </c>
      <c r="H20" s="12" t="s">
        <v>222</v>
      </c>
      <c r="I20" s="12">
        <v>200</v>
      </c>
    </row>
    <row r="21" spans="1:9" ht="40.5" customHeight="1" x14ac:dyDescent="0.3">
      <c r="A21" s="10" t="s">
        <v>124</v>
      </c>
      <c r="B21" s="11" t="s">
        <v>275</v>
      </c>
      <c r="C21" s="10" t="s">
        <v>84</v>
      </c>
      <c r="D21" s="11" t="s">
        <v>276</v>
      </c>
      <c r="E21" s="14" t="s">
        <v>219</v>
      </c>
      <c r="F21" s="11" t="s">
        <v>247</v>
      </c>
      <c r="G21" s="11" t="s">
        <v>248</v>
      </c>
      <c r="H21" s="10" t="s">
        <v>222</v>
      </c>
      <c r="I21" s="10">
        <v>200</v>
      </c>
    </row>
    <row r="22" spans="1:9" ht="54" customHeight="1" x14ac:dyDescent="0.3">
      <c r="A22" s="12" t="s">
        <v>125</v>
      </c>
      <c r="B22" s="13" t="s">
        <v>277</v>
      </c>
      <c r="C22" s="12" t="s">
        <v>84</v>
      </c>
      <c r="D22" s="13" t="s">
        <v>278</v>
      </c>
      <c r="E22" s="15" t="s">
        <v>229</v>
      </c>
      <c r="F22" s="13" t="s">
        <v>251</v>
      </c>
      <c r="G22" s="13" t="s">
        <v>252</v>
      </c>
      <c r="H22" s="12" t="s">
        <v>222</v>
      </c>
      <c r="I22" s="12">
        <v>201</v>
      </c>
    </row>
    <row r="23" spans="1:9" ht="54" customHeight="1" x14ac:dyDescent="0.3">
      <c r="A23" s="10" t="s">
        <v>126</v>
      </c>
      <c r="B23" s="11" t="s">
        <v>279</v>
      </c>
      <c r="C23" s="10" t="s">
        <v>84</v>
      </c>
      <c r="D23" s="11" t="s">
        <v>280</v>
      </c>
      <c r="E23" s="17" t="s">
        <v>255</v>
      </c>
      <c r="F23" s="11" t="s">
        <v>256</v>
      </c>
      <c r="G23" s="11" t="s">
        <v>257</v>
      </c>
      <c r="H23" s="10" t="s">
        <v>222</v>
      </c>
      <c r="I23" s="10">
        <v>204</v>
      </c>
    </row>
    <row r="24" spans="1:9" ht="54" customHeight="1" x14ac:dyDescent="0.3">
      <c r="A24" s="12" t="s">
        <v>127</v>
      </c>
      <c r="B24" s="13" t="s">
        <v>281</v>
      </c>
      <c r="C24" s="12" t="s">
        <v>84</v>
      </c>
      <c r="D24" s="13" t="s">
        <v>282</v>
      </c>
      <c r="E24" s="15" t="s">
        <v>229</v>
      </c>
      <c r="F24" s="13" t="s">
        <v>283</v>
      </c>
      <c r="G24" s="13" t="s">
        <v>261</v>
      </c>
      <c r="H24" s="12" t="s">
        <v>222</v>
      </c>
      <c r="I24" s="12">
        <v>202</v>
      </c>
    </row>
    <row r="25" spans="1:9" ht="40.5" customHeight="1" x14ac:dyDescent="0.3">
      <c r="A25" s="10" t="s">
        <v>128</v>
      </c>
      <c r="B25" s="11" t="s">
        <v>284</v>
      </c>
      <c r="C25" s="10" t="s">
        <v>84</v>
      </c>
      <c r="D25" s="11" t="s">
        <v>285</v>
      </c>
      <c r="E25" s="14" t="s">
        <v>219</v>
      </c>
      <c r="F25" s="11" t="s">
        <v>264</v>
      </c>
      <c r="G25" s="11" t="s">
        <v>221</v>
      </c>
      <c r="H25" s="10" t="s">
        <v>222</v>
      </c>
      <c r="I25" s="10">
        <v>200</v>
      </c>
    </row>
    <row r="26" spans="1:9" ht="54" customHeight="1" x14ac:dyDescent="0.3">
      <c r="A26" s="12" t="s">
        <v>129</v>
      </c>
      <c r="B26" s="13" t="s">
        <v>286</v>
      </c>
      <c r="C26" s="12" t="s">
        <v>84</v>
      </c>
      <c r="D26" s="13" t="s">
        <v>287</v>
      </c>
      <c r="E26" s="14" t="s">
        <v>219</v>
      </c>
      <c r="F26" s="13" t="s">
        <v>288</v>
      </c>
      <c r="G26" s="13" t="s">
        <v>226</v>
      </c>
      <c r="H26" s="12" t="s">
        <v>222</v>
      </c>
      <c r="I26" s="12">
        <v>200</v>
      </c>
    </row>
    <row r="27" spans="1:9" ht="40.5" customHeight="1" x14ac:dyDescent="0.3">
      <c r="A27" s="10" t="s">
        <v>130</v>
      </c>
      <c r="B27" s="11" t="s">
        <v>289</v>
      </c>
      <c r="C27" s="10" t="s">
        <v>84</v>
      </c>
      <c r="D27" s="11" t="s">
        <v>290</v>
      </c>
      <c r="E27" s="15" t="s">
        <v>229</v>
      </c>
      <c r="F27" s="11" t="s">
        <v>230</v>
      </c>
      <c r="G27" s="11" t="s">
        <v>231</v>
      </c>
      <c r="H27" s="10" t="s">
        <v>222</v>
      </c>
      <c r="I27" s="10">
        <v>201</v>
      </c>
    </row>
    <row r="28" spans="1:9" ht="40.5" customHeight="1" x14ac:dyDescent="0.3">
      <c r="A28" s="12" t="s">
        <v>131</v>
      </c>
      <c r="B28" s="13" t="s">
        <v>291</v>
      </c>
      <c r="C28" s="12" t="s">
        <v>84</v>
      </c>
      <c r="D28" s="13" t="s">
        <v>292</v>
      </c>
      <c r="E28" s="16" t="s">
        <v>234</v>
      </c>
      <c r="F28" s="13" t="s">
        <v>235</v>
      </c>
      <c r="G28" s="13" t="s">
        <v>236</v>
      </c>
      <c r="H28" s="12" t="s">
        <v>222</v>
      </c>
      <c r="I28" s="12">
        <v>200</v>
      </c>
    </row>
    <row r="29" spans="1:9" ht="54" customHeight="1" x14ac:dyDescent="0.3">
      <c r="A29" s="10" t="s">
        <v>132</v>
      </c>
      <c r="B29" s="11" t="s">
        <v>293</v>
      </c>
      <c r="C29" s="10" t="s">
        <v>84</v>
      </c>
      <c r="D29" s="11" t="s">
        <v>294</v>
      </c>
      <c r="E29" s="14" t="s">
        <v>219</v>
      </c>
      <c r="F29" s="11" t="s">
        <v>239</v>
      </c>
      <c r="G29" s="11" t="s">
        <v>240</v>
      </c>
      <c r="H29" s="10" t="s">
        <v>222</v>
      </c>
      <c r="I29" s="10">
        <v>200</v>
      </c>
    </row>
    <row r="30" spans="1:9" ht="40.5" customHeight="1" x14ac:dyDescent="0.3">
      <c r="A30" s="12" t="s">
        <v>133</v>
      </c>
      <c r="B30" s="13" t="s">
        <v>295</v>
      </c>
      <c r="C30" s="12" t="s">
        <v>84</v>
      </c>
      <c r="D30" s="13" t="s">
        <v>296</v>
      </c>
      <c r="E30" s="16" t="s">
        <v>234</v>
      </c>
      <c r="F30" s="13" t="s">
        <v>243</v>
      </c>
      <c r="G30" s="13" t="s">
        <v>244</v>
      </c>
      <c r="H30" s="12" t="s">
        <v>222</v>
      </c>
      <c r="I30" s="12">
        <v>200</v>
      </c>
    </row>
    <row r="31" spans="1:9" ht="40.5" customHeight="1" x14ac:dyDescent="0.3">
      <c r="A31" s="10" t="s">
        <v>134</v>
      </c>
      <c r="B31" s="11" t="s">
        <v>297</v>
      </c>
      <c r="C31" s="10" t="s">
        <v>84</v>
      </c>
      <c r="D31" s="11" t="s">
        <v>298</v>
      </c>
      <c r="E31" s="14" t="s">
        <v>219</v>
      </c>
      <c r="F31" s="11" t="s">
        <v>247</v>
      </c>
      <c r="G31" s="11" t="s">
        <v>248</v>
      </c>
      <c r="H31" s="10" t="s">
        <v>222</v>
      </c>
      <c r="I31" s="10">
        <v>200</v>
      </c>
    </row>
    <row r="32" spans="1:9" ht="54" customHeight="1" x14ac:dyDescent="0.3">
      <c r="A32" s="12" t="s">
        <v>135</v>
      </c>
      <c r="B32" s="13" t="s">
        <v>299</v>
      </c>
      <c r="C32" s="12" t="s">
        <v>84</v>
      </c>
      <c r="D32" s="13" t="s">
        <v>300</v>
      </c>
      <c r="E32" s="15" t="s">
        <v>229</v>
      </c>
      <c r="F32" s="13" t="s">
        <v>251</v>
      </c>
      <c r="G32" s="13" t="s">
        <v>252</v>
      </c>
      <c r="H32" s="12" t="s">
        <v>222</v>
      </c>
      <c r="I32" s="12">
        <v>201</v>
      </c>
    </row>
    <row r="33" spans="1:9" ht="54" customHeight="1" x14ac:dyDescent="0.3">
      <c r="A33" s="10" t="s">
        <v>136</v>
      </c>
      <c r="B33" s="11" t="s">
        <v>301</v>
      </c>
      <c r="C33" s="10" t="s">
        <v>84</v>
      </c>
      <c r="D33" s="11" t="s">
        <v>302</v>
      </c>
      <c r="E33" s="17" t="s">
        <v>255</v>
      </c>
      <c r="F33" s="11" t="s">
        <v>256</v>
      </c>
      <c r="G33" s="11" t="s">
        <v>257</v>
      </c>
      <c r="H33" s="10" t="s">
        <v>222</v>
      </c>
      <c r="I33" s="10">
        <v>204</v>
      </c>
    </row>
    <row r="34" spans="1:9" ht="54" customHeight="1" x14ac:dyDescent="0.3">
      <c r="A34" s="12" t="s">
        <v>137</v>
      </c>
      <c r="B34" s="13" t="s">
        <v>303</v>
      </c>
      <c r="C34" s="12" t="s">
        <v>84</v>
      </c>
      <c r="D34" s="13" t="s">
        <v>304</v>
      </c>
      <c r="E34" s="15" t="s">
        <v>229</v>
      </c>
      <c r="F34" s="13" t="s">
        <v>305</v>
      </c>
      <c r="G34" s="13" t="s">
        <v>261</v>
      </c>
      <c r="H34" s="12" t="s">
        <v>222</v>
      </c>
      <c r="I34" s="12">
        <v>202</v>
      </c>
    </row>
    <row r="35" spans="1:9" ht="40.5" customHeight="1" x14ac:dyDescent="0.3">
      <c r="A35" s="10" t="s">
        <v>138</v>
      </c>
      <c r="B35" s="11" t="s">
        <v>306</v>
      </c>
      <c r="C35" s="10" t="s">
        <v>84</v>
      </c>
      <c r="D35" s="11" t="s">
        <v>307</v>
      </c>
      <c r="E35" s="14" t="s">
        <v>219</v>
      </c>
      <c r="F35" s="11" t="s">
        <v>264</v>
      </c>
      <c r="G35" s="11" t="s">
        <v>221</v>
      </c>
      <c r="H35" s="10" t="s">
        <v>222</v>
      </c>
      <c r="I35" s="10">
        <v>200</v>
      </c>
    </row>
    <row r="36" spans="1:9" ht="54" customHeight="1" x14ac:dyDescent="0.3">
      <c r="A36" s="12" t="s">
        <v>139</v>
      </c>
      <c r="B36" s="13" t="s">
        <v>308</v>
      </c>
      <c r="C36" s="12" t="s">
        <v>84</v>
      </c>
      <c r="D36" s="13" t="s">
        <v>309</v>
      </c>
      <c r="E36" s="14" t="s">
        <v>219</v>
      </c>
      <c r="F36" s="13" t="s">
        <v>288</v>
      </c>
      <c r="G36" s="13" t="s">
        <v>226</v>
      </c>
      <c r="H36" s="12" t="s">
        <v>222</v>
      </c>
      <c r="I36" s="12">
        <v>200</v>
      </c>
    </row>
    <row r="37" spans="1:9" ht="54" customHeight="1" x14ac:dyDescent="0.3">
      <c r="A37" s="10" t="s">
        <v>140</v>
      </c>
      <c r="B37" s="11" t="s">
        <v>310</v>
      </c>
      <c r="C37" s="10" t="s">
        <v>84</v>
      </c>
      <c r="D37" s="11" t="s">
        <v>311</v>
      </c>
      <c r="E37" s="15" t="s">
        <v>229</v>
      </c>
      <c r="F37" s="11" t="s">
        <v>312</v>
      </c>
      <c r="G37" s="11" t="s">
        <v>231</v>
      </c>
      <c r="H37" s="10" t="s">
        <v>222</v>
      </c>
      <c r="I37" s="10">
        <v>201</v>
      </c>
    </row>
    <row r="38" spans="1:9" ht="40.5" customHeight="1" x14ac:dyDescent="0.3">
      <c r="A38" s="12" t="s">
        <v>141</v>
      </c>
      <c r="B38" s="13" t="s">
        <v>313</v>
      </c>
      <c r="C38" s="12" t="s">
        <v>84</v>
      </c>
      <c r="D38" s="13" t="s">
        <v>314</v>
      </c>
      <c r="E38" s="16" t="s">
        <v>234</v>
      </c>
      <c r="F38" s="13" t="s">
        <v>235</v>
      </c>
      <c r="G38" s="13" t="s">
        <v>236</v>
      </c>
      <c r="H38" s="12" t="s">
        <v>222</v>
      </c>
      <c r="I38" s="12">
        <v>200</v>
      </c>
    </row>
    <row r="39" spans="1:9" ht="54" customHeight="1" x14ac:dyDescent="0.3">
      <c r="A39" s="10" t="s">
        <v>142</v>
      </c>
      <c r="B39" s="11" t="s">
        <v>315</v>
      </c>
      <c r="C39" s="10" t="s">
        <v>84</v>
      </c>
      <c r="D39" s="11" t="s">
        <v>316</v>
      </c>
      <c r="E39" s="14" t="s">
        <v>219</v>
      </c>
      <c r="F39" s="11" t="s">
        <v>239</v>
      </c>
      <c r="G39" s="11" t="s">
        <v>240</v>
      </c>
      <c r="H39" s="10" t="s">
        <v>222</v>
      </c>
      <c r="I39" s="10">
        <v>200</v>
      </c>
    </row>
    <row r="40" spans="1:9" ht="40.5" customHeight="1" x14ac:dyDescent="0.3">
      <c r="A40" s="12" t="s">
        <v>143</v>
      </c>
      <c r="B40" s="13" t="s">
        <v>317</v>
      </c>
      <c r="C40" s="12" t="s">
        <v>84</v>
      </c>
      <c r="D40" s="13" t="s">
        <v>318</v>
      </c>
      <c r="E40" s="16" t="s">
        <v>234</v>
      </c>
      <c r="F40" s="13" t="s">
        <v>243</v>
      </c>
      <c r="G40" s="13" t="s">
        <v>244</v>
      </c>
      <c r="H40" s="12" t="s">
        <v>222</v>
      </c>
      <c r="I40" s="12">
        <v>200</v>
      </c>
    </row>
    <row r="41" spans="1:9" ht="40.5" customHeight="1" x14ac:dyDescent="0.3">
      <c r="A41" s="10" t="s">
        <v>144</v>
      </c>
      <c r="B41" s="11" t="s">
        <v>319</v>
      </c>
      <c r="C41" s="10" t="s">
        <v>84</v>
      </c>
      <c r="D41" s="11" t="s">
        <v>320</v>
      </c>
      <c r="E41" s="14" t="s">
        <v>219</v>
      </c>
      <c r="F41" s="11" t="s">
        <v>247</v>
      </c>
      <c r="G41" s="11" t="s">
        <v>248</v>
      </c>
      <c r="H41" s="10" t="s">
        <v>222</v>
      </c>
      <c r="I41" s="10">
        <v>200</v>
      </c>
    </row>
    <row r="42" spans="1:9" ht="54" customHeight="1" x14ac:dyDescent="0.3">
      <c r="A42" s="12" t="s">
        <v>145</v>
      </c>
      <c r="B42" s="13" t="s">
        <v>321</v>
      </c>
      <c r="C42" s="12" t="s">
        <v>84</v>
      </c>
      <c r="D42" s="13" t="s">
        <v>322</v>
      </c>
      <c r="E42" s="15" t="s">
        <v>229</v>
      </c>
      <c r="F42" s="13" t="s">
        <v>251</v>
      </c>
      <c r="G42" s="13" t="s">
        <v>252</v>
      </c>
      <c r="H42" s="12" t="s">
        <v>222</v>
      </c>
      <c r="I42" s="12">
        <v>201</v>
      </c>
    </row>
    <row r="43" spans="1:9" ht="54" customHeight="1" x14ac:dyDescent="0.3">
      <c r="A43" s="10" t="s">
        <v>146</v>
      </c>
      <c r="B43" s="11" t="s">
        <v>323</v>
      </c>
      <c r="C43" s="10" t="s">
        <v>84</v>
      </c>
      <c r="D43" s="11" t="s">
        <v>324</v>
      </c>
      <c r="E43" s="17" t="s">
        <v>255</v>
      </c>
      <c r="F43" s="11" t="s">
        <v>256</v>
      </c>
      <c r="G43" s="11" t="s">
        <v>257</v>
      </c>
      <c r="H43" s="10" t="s">
        <v>222</v>
      </c>
      <c r="I43" s="10">
        <v>204</v>
      </c>
    </row>
    <row r="44" spans="1:9" ht="40.5" customHeight="1" x14ac:dyDescent="0.3">
      <c r="A44" s="12" t="s">
        <v>147</v>
      </c>
      <c r="B44" s="13" t="s">
        <v>325</v>
      </c>
      <c r="C44" s="12" t="s">
        <v>84</v>
      </c>
      <c r="D44" s="13" t="s">
        <v>326</v>
      </c>
      <c r="E44" s="15" t="s">
        <v>229</v>
      </c>
      <c r="F44" s="13" t="s">
        <v>327</v>
      </c>
      <c r="G44" s="13" t="s">
        <v>261</v>
      </c>
      <c r="H44" s="12" t="s">
        <v>222</v>
      </c>
      <c r="I44" s="12">
        <v>202</v>
      </c>
    </row>
    <row r="45" spans="1:9" ht="40.5" customHeight="1" x14ac:dyDescent="0.3">
      <c r="A45" s="10" t="s">
        <v>148</v>
      </c>
      <c r="B45" s="11" t="s">
        <v>328</v>
      </c>
      <c r="C45" s="10" t="s">
        <v>84</v>
      </c>
      <c r="D45" s="11" t="s">
        <v>329</v>
      </c>
      <c r="E45" s="14" t="s">
        <v>219</v>
      </c>
      <c r="F45" s="11" t="s">
        <v>264</v>
      </c>
      <c r="G45" s="11" t="s">
        <v>221</v>
      </c>
      <c r="H45" s="10" t="s">
        <v>222</v>
      </c>
      <c r="I45" s="10">
        <v>200</v>
      </c>
    </row>
    <row r="46" spans="1:9" ht="54" customHeight="1" x14ac:dyDescent="0.3">
      <c r="A46" s="12" t="s">
        <v>149</v>
      </c>
      <c r="B46" s="13" t="s">
        <v>330</v>
      </c>
      <c r="C46" s="12" t="s">
        <v>84</v>
      </c>
      <c r="D46" s="13" t="s">
        <v>331</v>
      </c>
      <c r="E46" s="14" t="s">
        <v>219</v>
      </c>
      <c r="F46" s="13" t="s">
        <v>288</v>
      </c>
      <c r="G46" s="13" t="s">
        <v>226</v>
      </c>
      <c r="H46" s="12" t="s">
        <v>222</v>
      </c>
      <c r="I46" s="12">
        <v>200</v>
      </c>
    </row>
    <row r="47" spans="1:9" ht="54" customHeight="1" x14ac:dyDescent="0.3">
      <c r="A47" s="10" t="s">
        <v>150</v>
      </c>
      <c r="B47" s="11" t="s">
        <v>332</v>
      </c>
      <c r="C47" s="10" t="s">
        <v>84</v>
      </c>
      <c r="D47" s="11" t="s">
        <v>333</v>
      </c>
      <c r="E47" s="15" t="s">
        <v>229</v>
      </c>
      <c r="F47" s="11" t="s">
        <v>312</v>
      </c>
      <c r="G47" s="11" t="s">
        <v>231</v>
      </c>
      <c r="H47" s="10" t="s">
        <v>222</v>
      </c>
      <c r="I47" s="10">
        <v>201</v>
      </c>
    </row>
    <row r="48" spans="1:9" ht="40.5" customHeight="1" x14ac:dyDescent="0.3">
      <c r="A48" s="12" t="s">
        <v>151</v>
      </c>
      <c r="B48" s="13" t="s">
        <v>334</v>
      </c>
      <c r="C48" s="12" t="s">
        <v>84</v>
      </c>
      <c r="D48" s="13" t="s">
        <v>335</v>
      </c>
      <c r="E48" s="16" t="s">
        <v>234</v>
      </c>
      <c r="F48" s="13" t="s">
        <v>336</v>
      </c>
      <c r="G48" s="13" t="s">
        <v>236</v>
      </c>
      <c r="H48" s="12" t="s">
        <v>222</v>
      </c>
      <c r="I48" s="12">
        <v>200</v>
      </c>
    </row>
    <row r="49" spans="1:9" ht="54" customHeight="1" x14ac:dyDescent="0.3">
      <c r="A49" s="10" t="s">
        <v>152</v>
      </c>
      <c r="B49" s="11" t="s">
        <v>337</v>
      </c>
      <c r="C49" s="10" t="s">
        <v>84</v>
      </c>
      <c r="D49" s="11" t="s">
        <v>338</v>
      </c>
      <c r="E49" s="14" t="s">
        <v>219</v>
      </c>
      <c r="F49" s="11" t="s">
        <v>239</v>
      </c>
      <c r="G49" s="11" t="s">
        <v>240</v>
      </c>
      <c r="H49" s="10" t="s">
        <v>222</v>
      </c>
      <c r="I49" s="10">
        <v>200</v>
      </c>
    </row>
    <row r="50" spans="1:9" ht="40.5" customHeight="1" x14ac:dyDescent="0.3">
      <c r="A50" s="12" t="s">
        <v>153</v>
      </c>
      <c r="B50" s="13" t="s">
        <v>339</v>
      </c>
      <c r="C50" s="12" t="s">
        <v>84</v>
      </c>
      <c r="D50" s="13" t="s">
        <v>340</v>
      </c>
      <c r="E50" s="16" t="s">
        <v>234</v>
      </c>
      <c r="F50" s="13" t="s">
        <v>243</v>
      </c>
      <c r="G50" s="13" t="s">
        <v>244</v>
      </c>
      <c r="H50" s="12" t="s">
        <v>222</v>
      </c>
      <c r="I50" s="12">
        <v>200</v>
      </c>
    </row>
    <row r="51" spans="1:9" ht="40.5" customHeight="1" x14ac:dyDescent="0.3">
      <c r="A51" s="10" t="s">
        <v>154</v>
      </c>
      <c r="B51" s="11" t="s">
        <v>341</v>
      </c>
      <c r="C51" s="10" t="s">
        <v>84</v>
      </c>
      <c r="D51" s="11" t="s">
        <v>342</v>
      </c>
      <c r="E51" s="14" t="s">
        <v>219</v>
      </c>
      <c r="F51" s="11" t="s">
        <v>247</v>
      </c>
      <c r="G51" s="11" t="s">
        <v>248</v>
      </c>
      <c r="H51" s="10" t="s">
        <v>222</v>
      </c>
      <c r="I51" s="10">
        <v>200</v>
      </c>
    </row>
    <row r="52" spans="1:9" ht="54" customHeight="1" x14ac:dyDescent="0.3">
      <c r="A52" s="12" t="s">
        <v>155</v>
      </c>
      <c r="B52" s="13" t="s">
        <v>343</v>
      </c>
      <c r="C52" s="12" t="s">
        <v>84</v>
      </c>
      <c r="D52" s="13" t="s">
        <v>344</v>
      </c>
      <c r="E52" s="15" t="s">
        <v>229</v>
      </c>
      <c r="F52" s="13" t="s">
        <v>251</v>
      </c>
      <c r="G52" s="13" t="s">
        <v>252</v>
      </c>
      <c r="H52" s="12" t="s">
        <v>222</v>
      </c>
      <c r="I52" s="12">
        <v>201</v>
      </c>
    </row>
    <row r="53" spans="1:9" ht="54" customHeight="1" x14ac:dyDescent="0.3">
      <c r="A53" s="10" t="s">
        <v>156</v>
      </c>
      <c r="B53" s="11" t="s">
        <v>345</v>
      </c>
      <c r="C53" s="10" t="s">
        <v>84</v>
      </c>
      <c r="D53" s="11" t="s">
        <v>346</v>
      </c>
      <c r="E53" s="17" t="s">
        <v>255</v>
      </c>
      <c r="F53" s="11" t="s">
        <v>256</v>
      </c>
      <c r="G53" s="11" t="s">
        <v>257</v>
      </c>
      <c r="H53" s="10" t="s">
        <v>222</v>
      </c>
      <c r="I53" s="10">
        <v>204</v>
      </c>
    </row>
    <row r="54" spans="1:9" ht="40.5" customHeight="1" x14ac:dyDescent="0.3">
      <c r="A54" s="12" t="s">
        <v>157</v>
      </c>
      <c r="B54" s="13" t="s">
        <v>347</v>
      </c>
      <c r="C54" s="12" t="s">
        <v>84</v>
      </c>
      <c r="D54" s="13" t="s">
        <v>348</v>
      </c>
      <c r="E54" s="15" t="s">
        <v>229</v>
      </c>
      <c r="F54" s="13" t="s">
        <v>349</v>
      </c>
      <c r="G54" s="13" t="s">
        <v>261</v>
      </c>
      <c r="H54" s="12" t="s">
        <v>222</v>
      </c>
      <c r="I54" s="12">
        <v>202</v>
      </c>
    </row>
    <row r="55" spans="1:9" ht="40.5" customHeight="1" x14ac:dyDescent="0.3">
      <c r="A55" s="10" t="s">
        <v>158</v>
      </c>
      <c r="B55" s="11" t="s">
        <v>350</v>
      </c>
      <c r="C55" s="10" t="s">
        <v>84</v>
      </c>
      <c r="D55" s="11" t="s">
        <v>351</v>
      </c>
      <c r="E55" s="14" t="s">
        <v>219</v>
      </c>
      <c r="F55" s="11" t="s">
        <v>264</v>
      </c>
      <c r="G55" s="11" t="s">
        <v>221</v>
      </c>
      <c r="H55" s="10" t="s">
        <v>222</v>
      </c>
      <c r="I55" s="10">
        <v>200</v>
      </c>
    </row>
    <row r="56" spans="1:9" ht="54" customHeight="1" x14ac:dyDescent="0.3">
      <c r="A56" s="12" t="s">
        <v>159</v>
      </c>
      <c r="B56" s="13" t="s">
        <v>352</v>
      </c>
      <c r="C56" s="12" t="s">
        <v>84</v>
      </c>
      <c r="D56" s="13" t="s">
        <v>353</v>
      </c>
      <c r="E56" s="14" t="s">
        <v>219</v>
      </c>
      <c r="F56" s="13" t="s">
        <v>288</v>
      </c>
      <c r="G56" s="13" t="s">
        <v>226</v>
      </c>
      <c r="H56" s="12" t="s">
        <v>222</v>
      </c>
      <c r="I56" s="12">
        <v>200</v>
      </c>
    </row>
    <row r="57" spans="1:9" ht="54" customHeight="1" x14ac:dyDescent="0.3">
      <c r="A57" s="10" t="s">
        <v>160</v>
      </c>
      <c r="B57" s="11" t="s">
        <v>354</v>
      </c>
      <c r="C57" s="10" t="s">
        <v>84</v>
      </c>
      <c r="D57" s="11" t="s">
        <v>355</v>
      </c>
      <c r="E57" s="15" t="s">
        <v>229</v>
      </c>
      <c r="F57" s="11" t="s">
        <v>312</v>
      </c>
      <c r="G57" s="11" t="s">
        <v>231</v>
      </c>
      <c r="H57" s="10" t="s">
        <v>222</v>
      </c>
      <c r="I57" s="10">
        <v>201</v>
      </c>
    </row>
    <row r="58" spans="1:9" ht="40.5" customHeight="1" x14ac:dyDescent="0.3">
      <c r="A58" s="12" t="s">
        <v>161</v>
      </c>
      <c r="B58" s="13" t="s">
        <v>356</v>
      </c>
      <c r="C58" s="12" t="s">
        <v>84</v>
      </c>
      <c r="D58" s="13" t="s">
        <v>357</v>
      </c>
      <c r="E58" s="16" t="s">
        <v>234</v>
      </c>
      <c r="F58" s="13" t="s">
        <v>336</v>
      </c>
      <c r="G58" s="13" t="s">
        <v>236</v>
      </c>
      <c r="H58" s="12" t="s">
        <v>222</v>
      </c>
      <c r="I58" s="12">
        <v>200</v>
      </c>
    </row>
    <row r="59" spans="1:9" ht="40.5" customHeight="1" x14ac:dyDescent="0.3">
      <c r="A59" s="10" t="s">
        <v>162</v>
      </c>
      <c r="B59" s="11" t="s">
        <v>358</v>
      </c>
      <c r="C59" s="10" t="s">
        <v>84</v>
      </c>
      <c r="D59" s="11" t="s">
        <v>359</v>
      </c>
      <c r="E59" s="14" t="s">
        <v>219</v>
      </c>
      <c r="F59" s="11" t="s">
        <v>360</v>
      </c>
      <c r="G59" s="11" t="s">
        <v>240</v>
      </c>
      <c r="H59" s="10" t="s">
        <v>222</v>
      </c>
      <c r="I59" s="10">
        <v>200</v>
      </c>
    </row>
    <row r="60" spans="1:9" ht="40.5" customHeight="1" x14ac:dyDescent="0.3">
      <c r="A60" s="12" t="s">
        <v>163</v>
      </c>
      <c r="B60" s="13" t="s">
        <v>361</v>
      </c>
      <c r="C60" s="12" t="s">
        <v>84</v>
      </c>
      <c r="D60" s="13" t="s">
        <v>362</v>
      </c>
      <c r="E60" s="16" t="s">
        <v>234</v>
      </c>
      <c r="F60" s="13" t="s">
        <v>243</v>
      </c>
      <c r="G60" s="13" t="s">
        <v>244</v>
      </c>
      <c r="H60" s="12" t="s">
        <v>222</v>
      </c>
      <c r="I60" s="12">
        <v>200</v>
      </c>
    </row>
    <row r="61" spans="1:9" ht="40.5" customHeight="1" x14ac:dyDescent="0.3">
      <c r="A61" s="10" t="s">
        <v>164</v>
      </c>
      <c r="B61" s="11" t="s">
        <v>363</v>
      </c>
      <c r="C61" s="10" t="s">
        <v>84</v>
      </c>
      <c r="D61" s="11" t="s">
        <v>364</v>
      </c>
      <c r="E61" s="14" t="s">
        <v>219</v>
      </c>
      <c r="F61" s="11" t="s">
        <v>247</v>
      </c>
      <c r="G61" s="11" t="s">
        <v>248</v>
      </c>
      <c r="H61" s="10" t="s">
        <v>222</v>
      </c>
      <c r="I61" s="10">
        <v>200</v>
      </c>
    </row>
    <row r="62" spans="1:9" ht="54" customHeight="1" x14ac:dyDescent="0.3">
      <c r="A62" s="12" t="s">
        <v>165</v>
      </c>
      <c r="B62" s="13" t="s">
        <v>365</v>
      </c>
      <c r="C62" s="12" t="s">
        <v>84</v>
      </c>
      <c r="D62" s="13" t="s">
        <v>366</v>
      </c>
      <c r="E62" s="15" t="s">
        <v>229</v>
      </c>
      <c r="F62" s="13" t="s">
        <v>251</v>
      </c>
      <c r="G62" s="13" t="s">
        <v>252</v>
      </c>
      <c r="H62" s="12" t="s">
        <v>222</v>
      </c>
      <c r="I62" s="12">
        <v>201</v>
      </c>
    </row>
    <row r="63" spans="1:9" ht="54" customHeight="1" x14ac:dyDescent="0.3">
      <c r="A63" s="10" t="s">
        <v>166</v>
      </c>
      <c r="B63" s="11" t="s">
        <v>367</v>
      </c>
      <c r="C63" s="10" t="s">
        <v>84</v>
      </c>
      <c r="D63" s="11" t="s">
        <v>368</v>
      </c>
      <c r="E63" s="17" t="s">
        <v>255</v>
      </c>
      <c r="F63" s="11" t="s">
        <v>256</v>
      </c>
      <c r="G63" s="11" t="s">
        <v>257</v>
      </c>
      <c r="H63" s="10" t="s">
        <v>222</v>
      </c>
      <c r="I63" s="10">
        <v>204</v>
      </c>
    </row>
    <row r="64" spans="1:9" ht="54" customHeight="1" x14ac:dyDescent="0.3">
      <c r="A64" s="12" t="s">
        <v>167</v>
      </c>
      <c r="B64" s="13" t="s">
        <v>369</v>
      </c>
      <c r="C64" s="12" t="s">
        <v>84</v>
      </c>
      <c r="D64" s="13" t="s">
        <v>370</v>
      </c>
      <c r="E64" s="15" t="s">
        <v>229</v>
      </c>
      <c r="F64" s="13" t="s">
        <v>371</v>
      </c>
      <c r="G64" s="13" t="s">
        <v>261</v>
      </c>
      <c r="H64" s="12" t="s">
        <v>222</v>
      </c>
      <c r="I64" s="12">
        <v>202</v>
      </c>
    </row>
    <row r="65" spans="1:9" ht="40.5" customHeight="1" x14ac:dyDescent="0.3">
      <c r="A65" s="10" t="s">
        <v>168</v>
      </c>
      <c r="B65" s="11" t="s">
        <v>372</v>
      </c>
      <c r="C65" s="10" t="s">
        <v>84</v>
      </c>
      <c r="D65" s="11" t="s">
        <v>373</v>
      </c>
      <c r="E65" s="14" t="s">
        <v>219</v>
      </c>
      <c r="F65" s="11" t="s">
        <v>264</v>
      </c>
      <c r="G65" s="11" t="s">
        <v>221</v>
      </c>
      <c r="H65" s="10" t="s">
        <v>222</v>
      </c>
      <c r="I65" s="10">
        <v>200</v>
      </c>
    </row>
    <row r="66" spans="1:9" ht="54" customHeight="1" x14ac:dyDescent="0.3">
      <c r="A66" s="12" t="s">
        <v>169</v>
      </c>
      <c r="B66" s="13" t="s">
        <v>374</v>
      </c>
      <c r="C66" s="12" t="s">
        <v>84</v>
      </c>
      <c r="D66" s="13" t="s">
        <v>375</v>
      </c>
      <c r="E66" s="14" t="s">
        <v>219</v>
      </c>
      <c r="F66" s="13" t="s">
        <v>288</v>
      </c>
      <c r="G66" s="13" t="s">
        <v>226</v>
      </c>
      <c r="H66" s="12" t="s">
        <v>222</v>
      </c>
      <c r="I66" s="12">
        <v>200</v>
      </c>
    </row>
    <row r="67" spans="1:9" ht="54" customHeight="1" x14ac:dyDescent="0.3">
      <c r="A67" s="10" t="s">
        <v>170</v>
      </c>
      <c r="B67" s="11" t="s">
        <v>376</v>
      </c>
      <c r="C67" s="10" t="s">
        <v>84</v>
      </c>
      <c r="D67" s="11" t="s">
        <v>377</v>
      </c>
      <c r="E67" s="15" t="s">
        <v>229</v>
      </c>
      <c r="F67" s="11" t="s">
        <v>312</v>
      </c>
      <c r="G67" s="11" t="s">
        <v>231</v>
      </c>
      <c r="H67" s="10" t="s">
        <v>222</v>
      </c>
      <c r="I67" s="10">
        <v>201</v>
      </c>
    </row>
    <row r="68" spans="1:9" ht="40.5" customHeight="1" x14ac:dyDescent="0.3">
      <c r="A68" s="12" t="s">
        <v>171</v>
      </c>
      <c r="B68" s="13" t="s">
        <v>378</v>
      </c>
      <c r="C68" s="12" t="s">
        <v>84</v>
      </c>
      <c r="D68" s="13" t="s">
        <v>379</v>
      </c>
      <c r="E68" s="16" t="s">
        <v>234</v>
      </c>
      <c r="F68" s="13" t="s">
        <v>336</v>
      </c>
      <c r="G68" s="13" t="s">
        <v>236</v>
      </c>
      <c r="H68" s="12" t="s">
        <v>222</v>
      </c>
      <c r="I68" s="12">
        <v>200</v>
      </c>
    </row>
    <row r="69" spans="1:9" ht="40.5" customHeight="1" x14ac:dyDescent="0.3">
      <c r="A69" s="10" t="s">
        <v>172</v>
      </c>
      <c r="B69" s="11" t="s">
        <v>380</v>
      </c>
      <c r="C69" s="10" t="s">
        <v>84</v>
      </c>
      <c r="D69" s="11" t="s">
        <v>381</v>
      </c>
      <c r="E69" s="14" t="s">
        <v>219</v>
      </c>
      <c r="F69" s="11" t="s">
        <v>360</v>
      </c>
      <c r="G69" s="11" t="s">
        <v>240</v>
      </c>
      <c r="H69" s="10" t="s">
        <v>222</v>
      </c>
      <c r="I69" s="10">
        <v>200</v>
      </c>
    </row>
    <row r="70" spans="1:9" ht="54" customHeight="1" x14ac:dyDescent="0.3">
      <c r="A70" s="12" t="s">
        <v>173</v>
      </c>
      <c r="B70" s="13" t="s">
        <v>382</v>
      </c>
      <c r="C70" s="12" t="s">
        <v>84</v>
      </c>
      <c r="D70" s="13" t="s">
        <v>383</v>
      </c>
      <c r="E70" s="16" t="s">
        <v>234</v>
      </c>
      <c r="F70" s="13" t="s">
        <v>384</v>
      </c>
      <c r="G70" s="13" t="s">
        <v>244</v>
      </c>
      <c r="H70" s="12" t="s">
        <v>222</v>
      </c>
      <c r="I70" s="12">
        <v>200</v>
      </c>
    </row>
    <row r="71" spans="1:9" ht="40.5" customHeight="1" x14ac:dyDescent="0.3">
      <c r="A71" s="10" t="s">
        <v>174</v>
      </c>
      <c r="B71" s="11" t="s">
        <v>385</v>
      </c>
      <c r="C71" s="10" t="s">
        <v>84</v>
      </c>
      <c r="D71" s="11" t="s">
        <v>386</v>
      </c>
      <c r="E71" s="14" t="s">
        <v>219</v>
      </c>
      <c r="F71" s="11" t="s">
        <v>247</v>
      </c>
      <c r="G71" s="11" t="s">
        <v>248</v>
      </c>
      <c r="H71" s="10" t="s">
        <v>222</v>
      </c>
      <c r="I71" s="10">
        <v>200</v>
      </c>
    </row>
    <row r="72" spans="1:9" ht="54" customHeight="1" x14ac:dyDescent="0.3">
      <c r="A72" s="12" t="s">
        <v>175</v>
      </c>
      <c r="B72" s="13" t="s">
        <v>387</v>
      </c>
      <c r="C72" s="12" t="s">
        <v>84</v>
      </c>
      <c r="D72" s="13" t="s">
        <v>388</v>
      </c>
      <c r="E72" s="15" t="s">
        <v>229</v>
      </c>
      <c r="F72" s="13" t="s">
        <v>251</v>
      </c>
      <c r="G72" s="13" t="s">
        <v>252</v>
      </c>
      <c r="H72" s="12" t="s">
        <v>222</v>
      </c>
      <c r="I72" s="12">
        <v>201</v>
      </c>
    </row>
    <row r="73" spans="1:9" ht="54" customHeight="1" x14ac:dyDescent="0.3">
      <c r="A73" s="10" t="s">
        <v>176</v>
      </c>
      <c r="B73" s="11" t="s">
        <v>389</v>
      </c>
      <c r="C73" s="10" t="s">
        <v>84</v>
      </c>
      <c r="D73" s="11" t="s">
        <v>390</v>
      </c>
      <c r="E73" s="17" t="s">
        <v>255</v>
      </c>
      <c r="F73" s="11" t="s">
        <v>256</v>
      </c>
      <c r="G73" s="11" t="s">
        <v>257</v>
      </c>
      <c r="H73" s="10" t="s">
        <v>222</v>
      </c>
      <c r="I73" s="10">
        <v>204</v>
      </c>
    </row>
    <row r="74" spans="1:9" ht="40.5" customHeight="1" x14ac:dyDescent="0.3">
      <c r="A74" s="12" t="s">
        <v>177</v>
      </c>
      <c r="B74" s="13" t="s">
        <v>391</v>
      </c>
      <c r="C74" s="12" t="s">
        <v>84</v>
      </c>
      <c r="D74" s="13" t="s">
        <v>392</v>
      </c>
      <c r="E74" s="15" t="s">
        <v>229</v>
      </c>
      <c r="F74" s="13" t="s">
        <v>393</v>
      </c>
      <c r="G74" s="13" t="s">
        <v>261</v>
      </c>
      <c r="H74" s="12" t="s">
        <v>222</v>
      </c>
      <c r="I74" s="12">
        <v>202</v>
      </c>
    </row>
    <row r="75" spans="1:9" ht="40.5" customHeight="1" x14ac:dyDescent="0.3">
      <c r="A75" s="10" t="s">
        <v>178</v>
      </c>
      <c r="B75" s="11" t="s">
        <v>394</v>
      </c>
      <c r="C75" s="10" t="s">
        <v>84</v>
      </c>
      <c r="D75" s="11" t="s">
        <v>395</v>
      </c>
      <c r="E75" s="14" t="s">
        <v>219</v>
      </c>
      <c r="F75" s="11" t="s">
        <v>264</v>
      </c>
      <c r="G75" s="11" t="s">
        <v>221</v>
      </c>
      <c r="H75" s="10" t="s">
        <v>222</v>
      </c>
      <c r="I75" s="10">
        <v>200</v>
      </c>
    </row>
    <row r="76" spans="1:9" ht="54" customHeight="1" x14ac:dyDescent="0.3">
      <c r="A76" s="12" t="s">
        <v>179</v>
      </c>
      <c r="B76" s="13" t="s">
        <v>396</v>
      </c>
      <c r="C76" s="12" t="s">
        <v>84</v>
      </c>
      <c r="D76" s="13" t="s">
        <v>397</v>
      </c>
      <c r="E76" s="14" t="s">
        <v>219</v>
      </c>
      <c r="F76" s="13" t="s">
        <v>288</v>
      </c>
      <c r="G76" s="13" t="s">
        <v>226</v>
      </c>
      <c r="H76" s="12" t="s">
        <v>222</v>
      </c>
      <c r="I76" s="12">
        <v>200</v>
      </c>
    </row>
    <row r="77" spans="1:9" ht="54" customHeight="1" x14ac:dyDescent="0.3">
      <c r="A77" s="10" t="s">
        <v>180</v>
      </c>
      <c r="B77" s="11" t="s">
        <v>398</v>
      </c>
      <c r="C77" s="10" t="s">
        <v>84</v>
      </c>
      <c r="D77" s="11" t="s">
        <v>399</v>
      </c>
      <c r="E77" s="15" t="s">
        <v>229</v>
      </c>
      <c r="F77" s="11" t="s">
        <v>312</v>
      </c>
      <c r="G77" s="11" t="s">
        <v>231</v>
      </c>
      <c r="H77" s="10" t="s">
        <v>222</v>
      </c>
      <c r="I77" s="10">
        <v>201</v>
      </c>
    </row>
    <row r="78" spans="1:9" ht="40.5" customHeight="1" x14ac:dyDescent="0.3">
      <c r="A78" s="12" t="s">
        <v>181</v>
      </c>
      <c r="B78" s="13" t="s">
        <v>400</v>
      </c>
      <c r="C78" s="12" t="s">
        <v>84</v>
      </c>
      <c r="D78" s="13" t="s">
        <v>401</v>
      </c>
      <c r="E78" s="16" t="s">
        <v>234</v>
      </c>
      <c r="F78" s="13" t="s">
        <v>336</v>
      </c>
      <c r="G78" s="13" t="s">
        <v>236</v>
      </c>
      <c r="H78" s="12" t="s">
        <v>222</v>
      </c>
      <c r="I78" s="12">
        <v>200</v>
      </c>
    </row>
    <row r="79" spans="1:9" ht="40.5" customHeight="1" x14ac:dyDescent="0.3">
      <c r="A79" s="10" t="s">
        <v>182</v>
      </c>
      <c r="B79" s="11" t="s">
        <v>402</v>
      </c>
      <c r="C79" s="10" t="s">
        <v>84</v>
      </c>
      <c r="D79" s="11" t="s">
        <v>403</v>
      </c>
      <c r="E79" s="14" t="s">
        <v>219</v>
      </c>
      <c r="F79" s="11" t="s">
        <v>360</v>
      </c>
      <c r="G79" s="11" t="s">
        <v>240</v>
      </c>
      <c r="H79" s="10" t="s">
        <v>222</v>
      </c>
      <c r="I79" s="10">
        <v>200</v>
      </c>
    </row>
    <row r="80" spans="1:9" ht="54" customHeight="1" x14ac:dyDescent="0.3">
      <c r="A80" s="12" t="s">
        <v>183</v>
      </c>
      <c r="B80" s="13" t="s">
        <v>404</v>
      </c>
      <c r="C80" s="12" t="s">
        <v>84</v>
      </c>
      <c r="D80" s="13" t="s">
        <v>405</v>
      </c>
      <c r="E80" s="16" t="s">
        <v>234</v>
      </c>
      <c r="F80" s="13" t="s">
        <v>384</v>
      </c>
      <c r="G80" s="13" t="s">
        <v>244</v>
      </c>
      <c r="H80" s="12" t="s">
        <v>222</v>
      </c>
      <c r="I80" s="12">
        <v>200</v>
      </c>
    </row>
    <row r="81" spans="1:9" ht="40.5" customHeight="1" x14ac:dyDescent="0.3">
      <c r="A81" s="10" t="s">
        <v>184</v>
      </c>
      <c r="B81" s="11" t="s">
        <v>406</v>
      </c>
      <c r="C81" s="10" t="s">
        <v>84</v>
      </c>
      <c r="D81" s="11" t="s">
        <v>407</v>
      </c>
      <c r="E81" s="14" t="s">
        <v>219</v>
      </c>
      <c r="F81" s="11" t="s">
        <v>408</v>
      </c>
      <c r="G81" s="11" t="s">
        <v>248</v>
      </c>
      <c r="H81" s="10" t="s">
        <v>222</v>
      </c>
      <c r="I81" s="10">
        <v>200</v>
      </c>
    </row>
    <row r="82" spans="1:9" ht="54" customHeight="1" x14ac:dyDescent="0.3">
      <c r="A82" s="12" t="s">
        <v>185</v>
      </c>
      <c r="B82" s="13" t="s">
        <v>409</v>
      </c>
      <c r="C82" s="12" t="s">
        <v>84</v>
      </c>
      <c r="D82" s="13" t="s">
        <v>410</v>
      </c>
      <c r="E82" s="15" t="s">
        <v>229</v>
      </c>
      <c r="F82" s="13" t="s">
        <v>251</v>
      </c>
      <c r="G82" s="13" t="s">
        <v>252</v>
      </c>
      <c r="H82" s="12" t="s">
        <v>222</v>
      </c>
      <c r="I82" s="12">
        <v>201</v>
      </c>
    </row>
    <row r="83" spans="1:9" ht="54" customHeight="1" x14ac:dyDescent="0.3">
      <c r="A83" s="10" t="s">
        <v>186</v>
      </c>
      <c r="B83" s="11" t="s">
        <v>411</v>
      </c>
      <c r="C83" s="10" t="s">
        <v>84</v>
      </c>
      <c r="D83" s="11" t="s">
        <v>412</v>
      </c>
      <c r="E83" s="17" t="s">
        <v>255</v>
      </c>
      <c r="F83" s="11" t="s">
        <v>256</v>
      </c>
      <c r="G83" s="11" t="s">
        <v>257</v>
      </c>
      <c r="H83" s="10" t="s">
        <v>222</v>
      </c>
      <c r="I83" s="10">
        <v>204</v>
      </c>
    </row>
    <row r="84" spans="1:9" ht="40.5" customHeight="1" x14ac:dyDescent="0.3">
      <c r="A84" s="12" t="s">
        <v>187</v>
      </c>
      <c r="B84" s="13" t="s">
        <v>413</v>
      </c>
      <c r="C84" s="12" t="s">
        <v>84</v>
      </c>
      <c r="D84" s="13" t="s">
        <v>414</v>
      </c>
      <c r="E84" s="15" t="s">
        <v>229</v>
      </c>
      <c r="F84" s="13" t="s">
        <v>415</v>
      </c>
      <c r="G84" s="13" t="s">
        <v>261</v>
      </c>
      <c r="H84" s="12" t="s">
        <v>222</v>
      </c>
      <c r="I84" s="12">
        <v>202</v>
      </c>
    </row>
    <row r="85" spans="1:9" ht="40.5" customHeight="1" x14ac:dyDescent="0.3">
      <c r="A85" s="10" t="s">
        <v>188</v>
      </c>
      <c r="B85" s="11" t="s">
        <v>416</v>
      </c>
      <c r="C85" s="10" t="s">
        <v>84</v>
      </c>
      <c r="D85" s="11" t="s">
        <v>417</v>
      </c>
      <c r="E85" s="14" t="s">
        <v>219</v>
      </c>
      <c r="F85" s="11" t="s">
        <v>264</v>
      </c>
      <c r="G85" s="11" t="s">
        <v>221</v>
      </c>
      <c r="H85" s="10" t="s">
        <v>222</v>
      </c>
      <c r="I85" s="10">
        <v>200</v>
      </c>
    </row>
    <row r="86" spans="1:9" ht="54" customHeight="1" x14ac:dyDescent="0.3">
      <c r="A86" s="12" t="s">
        <v>189</v>
      </c>
      <c r="B86" s="13" t="s">
        <v>418</v>
      </c>
      <c r="C86" s="12" t="s">
        <v>84</v>
      </c>
      <c r="D86" s="13" t="s">
        <v>419</v>
      </c>
      <c r="E86" s="14" t="s">
        <v>219</v>
      </c>
      <c r="F86" s="13" t="s">
        <v>288</v>
      </c>
      <c r="G86" s="13" t="s">
        <v>226</v>
      </c>
      <c r="H86" s="12" t="s">
        <v>222</v>
      </c>
      <c r="I86" s="12">
        <v>200</v>
      </c>
    </row>
    <row r="87" spans="1:9" ht="54" customHeight="1" x14ac:dyDescent="0.3">
      <c r="A87" s="10" t="s">
        <v>190</v>
      </c>
      <c r="B87" s="11" t="s">
        <v>420</v>
      </c>
      <c r="C87" s="10" t="s">
        <v>84</v>
      </c>
      <c r="D87" s="11" t="s">
        <v>421</v>
      </c>
      <c r="E87" s="15" t="s">
        <v>229</v>
      </c>
      <c r="F87" s="11" t="s">
        <v>312</v>
      </c>
      <c r="G87" s="11" t="s">
        <v>231</v>
      </c>
      <c r="H87" s="10" t="s">
        <v>222</v>
      </c>
      <c r="I87" s="10">
        <v>201</v>
      </c>
    </row>
    <row r="88" spans="1:9" ht="40.5" customHeight="1" x14ac:dyDescent="0.3">
      <c r="A88" s="12" t="s">
        <v>191</v>
      </c>
      <c r="B88" s="13" t="s">
        <v>422</v>
      </c>
      <c r="C88" s="12" t="s">
        <v>84</v>
      </c>
      <c r="D88" s="13" t="s">
        <v>423</v>
      </c>
      <c r="E88" s="16" t="s">
        <v>234</v>
      </c>
      <c r="F88" s="13" t="s">
        <v>336</v>
      </c>
      <c r="G88" s="13" t="s">
        <v>236</v>
      </c>
      <c r="H88" s="12" t="s">
        <v>222</v>
      </c>
      <c r="I88" s="12">
        <v>200</v>
      </c>
    </row>
    <row r="89" spans="1:9" ht="40.5" customHeight="1" x14ac:dyDescent="0.3">
      <c r="A89" s="10" t="s">
        <v>192</v>
      </c>
      <c r="B89" s="11" t="s">
        <v>424</v>
      </c>
      <c r="C89" s="10" t="s">
        <v>84</v>
      </c>
      <c r="D89" s="11" t="s">
        <v>425</v>
      </c>
      <c r="E89" s="14" t="s">
        <v>219</v>
      </c>
      <c r="F89" s="11" t="s">
        <v>360</v>
      </c>
      <c r="G89" s="11" t="s">
        <v>240</v>
      </c>
      <c r="H89" s="10" t="s">
        <v>222</v>
      </c>
      <c r="I89" s="10">
        <v>200</v>
      </c>
    </row>
    <row r="90" spans="1:9" ht="54" customHeight="1" x14ac:dyDescent="0.3">
      <c r="A90" s="12" t="s">
        <v>193</v>
      </c>
      <c r="B90" s="13" t="s">
        <v>426</v>
      </c>
      <c r="C90" s="12" t="s">
        <v>84</v>
      </c>
      <c r="D90" s="13" t="s">
        <v>427</v>
      </c>
      <c r="E90" s="16" t="s">
        <v>234</v>
      </c>
      <c r="F90" s="13" t="s">
        <v>384</v>
      </c>
      <c r="G90" s="13" t="s">
        <v>244</v>
      </c>
      <c r="H90" s="12" t="s">
        <v>222</v>
      </c>
      <c r="I90" s="12">
        <v>200</v>
      </c>
    </row>
    <row r="91" spans="1:9" ht="40.5" customHeight="1" x14ac:dyDescent="0.3">
      <c r="A91" s="10" t="s">
        <v>194</v>
      </c>
      <c r="B91" s="11" t="s">
        <v>428</v>
      </c>
      <c r="C91" s="10" t="s">
        <v>84</v>
      </c>
      <c r="D91" s="11" t="s">
        <v>429</v>
      </c>
      <c r="E91" s="14" t="s">
        <v>219</v>
      </c>
      <c r="F91" s="11" t="s">
        <v>408</v>
      </c>
      <c r="G91" s="11" t="s">
        <v>248</v>
      </c>
      <c r="H91" s="10" t="s">
        <v>222</v>
      </c>
      <c r="I91" s="10">
        <v>200</v>
      </c>
    </row>
    <row r="92" spans="1:9" ht="40.5" customHeight="1" x14ac:dyDescent="0.3">
      <c r="A92" s="12" t="s">
        <v>195</v>
      </c>
      <c r="B92" s="13" t="s">
        <v>430</v>
      </c>
      <c r="C92" s="12" t="s">
        <v>84</v>
      </c>
      <c r="D92" s="13" t="s">
        <v>431</v>
      </c>
      <c r="E92" s="15" t="s">
        <v>229</v>
      </c>
      <c r="F92" s="13" t="s">
        <v>432</v>
      </c>
      <c r="G92" s="13" t="s">
        <v>252</v>
      </c>
      <c r="H92" s="12" t="s">
        <v>222</v>
      </c>
      <c r="I92" s="12">
        <v>201</v>
      </c>
    </row>
    <row r="93" spans="1:9" ht="54" customHeight="1" x14ac:dyDescent="0.3">
      <c r="A93" s="10" t="s">
        <v>196</v>
      </c>
      <c r="B93" s="11" t="s">
        <v>433</v>
      </c>
      <c r="C93" s="10" t="s">
        <v>84</v>
      </c>
      <c r="D93" s="11" t="s">
        <v>434</v>
      </c>
      <c r="E93" s="17" t="s">
        <v>255</v>
      </c>
      <c r="F93" s="11" t="s">
        <v>256</v>
      </c>
      <c r="G93" s="11" t="s">
        <v>257</v>
      </c>
      <c r="H93" s="10" t="s">
        <v>222</v>
      </c>
      <c r="I93" s="10">
        <v>204</v>
      </c>
    </row>
    <row r="94" spans="1:9" ht="54" customHeight="1" x14ac:dyDescent="0.3">
      <c r="A94" s="12" t="s">
        <v>197</v>
      </c>
      <c r="B94" s="13" t="s">
        <v>435</v>
      </c>
      <c r="C94" s="12" t="s">
        <v>84</v>
      </c>
      <c r="D94" s="13" t="s">
        <v>436</v>
      </c>
      <c r="E94" s="15" t="s">
        <v>229</v>
      </c>
      <c r="F94" s="13" t="s">
        <v>437</v>
      </c>
      <c r="G94" s="13" t="s">
        <v>261</v>
      </c>
      <c r="H94" s="12" t="s">
        <v>222</v>
      </c>
      <c r="I94" s="12">
        <v>202</v>
      </c>
    </row>
    <row r="95" spans="1:9" ht="40.5" customHeight="1" x14ac:dyDescent="0.3">
      <c r="A95" s="10" t="s">
        <v>198</v>
      </c>
      <c r="B95" s="11" t="s">
        <v>438</v>
      </c>
      <c r="C95" s="10" t="s">
        <v>84</v>
      </c>
      <c r="D95" s="11" t="s">
        <v>439</v>
      </c>
      <c r="E95" s="14" t="s">
        <v>219</v>
      </c>
      <c r="F95" s="11" t="s">
        <v>264</v>
      </c>
      <c r="G95" s="11" t="s">
        <v>221</v>
      </c>
      <c r="H95" s="10" t="s">
        <v>222</v>
      </c>
      <c r="I95" s="10">
        <v>200</v>
      </c>
    </row>
    <row r="96" spans="1:9" ht="54" customHeight="1" x14ac:dyDescent="0.3">
      <c r="A96" s="12" t="s">
        <v>199</v>
      </c>
      <c r="B96" s="13" t="s">
        <v>440</v>
      </c>
      <c r="C96" s="12" t="s">
        <v>84</v>
      </c>
      <c r="D96" s="13" t="s">
        <v>441</v>
      </c>
      <c r="E96" s="14" t="s">
        <v>219</v>
      </c>
      <c r="F96" s="13" t="s">
        <v>288</v>
      </c>
      <c r="G96" s="13" t="s">
        <v>226</v>
      </c>
      <c r="H96" s="12" t="s">
        <v>222</v>
      </c>
      <c r="I96" s="12">
        <v>200</v>
      </c>
    </row>
    <row r="97" spans="1:9" ht="54" customHeight="1" x14ac:dyDescent="0.3">
      <c r="A97" s="10" t="s">
        <v>200</v>
      </c>
      <c r="B97" s="11" t="s">
        <v>442</v>
      </c>
      <c r="C97" s="10" t="s">
        <v>84</v>
      </c>
      <c r="D97" s="11" t="s">
        <v>443</v>
      </c>
      <c r="E97" s="15" t="s">
        <v>229</v>
      </c>
      <c r="F97" s="11" t="s">
        <v>312</v>
      </c>
      <c r="G97" s="11" t="s">
        <v>231</v>
      </c>
      <c r="H97" s="10" t="s">
        <v>222</v>
      </c>
      <c r="I97" s="10">
        <v>201</v>
      </c>
    </row>
    <row r="98" spans="1:9" ht="40.5" customHeight="1" x14ac:dyDescent="0.3">
      <c r="A98" s="12" t="s">
        <v>201</v>
      </c>
      <c r="B98" s="13" t="s">
        <v>444</v>
      </c>
      <c r="C98" s="12" t="s">
        <v>84</v>
      </c>
      <c r="D98" s="13" t="s">
        <v>445</v>
      </c>
      <c r="E98" s="16" t="s">
        <v>234</v>
      </c>
      <c r="F98" s="13" t="s">
        <v>336</v>
      </c>
      <c r="G98" s="13" t="s">
        <v>236</v>
      </c>
      <c r="H98" s="12" t="s">
        <v>222</v>
      </c>
      <c r="I98" s="12">
        <v>200</v>
      </c>
    </row>
    <row r="99" spans="1:9" ht="40.5" customHeight="1" x14ac:dyDescent="0.3">
      <c r="A99" s="10" t="s">
        <v>202</v>
      </c>
      <c r="B99" s="11" t="s">
        <v>446</v>
      </c>
      <c r="C99" s="10" t="s">
        <v>84</v>
      </c>
      <c r="D99" s="11" t="s">
        <v>447</v>
      </c>
      <c r="E99" s="14" t="s">
        <v>219</v>
      </c>
      <c r="F99" s="11" t="s">
        <v>360</v>
      </c>
      <c r="G99" s="11" t="s">
        <v>240</v>
      </c>
      <c r="H99" s="10" t="s">
        <v>222</v>
      </c>
      <c r="I99" s="10">
        <v>200</v>
      </c>
    </row>
    <row r="100" spans="1:9" ht="54" customHeight="1" x14ac:dyDescent="0.3">
      <c r="A100" s="12" t="s">
        <v>203</v>
      </c>
      <c r="B100" s="13" t="s">
        <v>448</v>
      </c>
      <c r="C100" s="12" t="s">
        <v>84</v>
      </c>
      <c r="D100" s="13" t="s">
        <v>449</v>
      </c>
      <c r="E100" s="16" t="s">
        <v>234</v>
      </c>
      <c r="F100" s="13" t="s">
        <v>384</v>
      </c>
      <c r="G100" s="13" t="s">
        <v>244</v>
      </c>
      <c r="H100" s="12" t="s">
        <v>222</v>
      </c>
      <c r="I100" s="12">
        <v>200</v>
      </c>
    </row>
    <row r="101" spans="1:9" ht="40.5" customHeight="1" x14ac:dyDescent="0.3">
      <c r="A101" s="10" t="s">
        <v>204</v>
      </c>
      <c r="B101" s="11" t="s">
        <v>450</v>
      </c>
      <c r="C101" s="10" t="s">
        <v>84</v>
      </c>
      <c r="D101" s="11" t="s">
        <v>451</v>
      </c>
      <c r="E101" s="14" t="s">
        <v>219</v>
      </c>
      <c r="F101" s="11" t="s">
        <v>408</v>
      </c>
      <c r="G101" s="11" t="s">
        <v>248</v>
      </c>
      <c r="H101" s="10" t="s">
        <v>222</v>
      </c>
      <c r="I101" s="10">
        <v>200</v>
      </c>
    </row>
    <row r="102" spans="1:9" ht="40.5" customHeight="1" x14ac:dyDescent="0.3">
      <c r="A102" s="12" t="s">
        <v>205</v>
      </c>
      <c r="B102" s="13" t="s">
        <v>452</v>
      </c>
      <c r="C102" s="12" t="s">
        <v>84</v>
      </c>
      <c r="D102" s="13" t="s">
        <v>453</v>
      </c>
      <c r="E102" s="15" t="s">
        <v>229</v>
      </c>
      <c r="F102" s="13" t="s">
        <v>432</v>
      </c>
      <c r="G102" s="13" t="s">
        <v>252</v>
      </c>
      <c r="H102" s="12" t="s">
        <v>222</v>
      </c>
      <c r="I102" s="12">
        <v>201</v>
      </c>
    </row>
    <row r="103" spans="1:9" ht="54" customHeight="1" x14ac:dyDescent="0.3">
      <c r="A103" s="10" t="s">
        <v>206</v>
      </c>
      <c r="B103" s="11" t="s">
        <v>454</v>
      </c>
      <c r="C103" s="10" t="s">
        <v>84</v>
      </c>
      <c r="D103" s="11" t="s">
        <v>455</v>
      </c>
      <c r="E103" s="17" t="s">
        <v>255</v>
      </c>
      <c r="F103" s="11" t="s">
        <v>456</v>
      </c>
      <c r="G103" s="11" t="s">
        <v>257</v>
      </c>
      <c r="H103" s="10" t="s">
        <v>222</v>
      </c>
      <c r="I103" s="10">
        <v>204</v>
      </c>
    </row>
    <row r="104" spans="1:9" ht="54" customHeight="1" x14ac:dyDescent="0.3">
      <c r="A104" s="12" t="s">
        <v>207</v>
      </c>
      <c r="B104" s="13" t="s">
        <v>457</v>
      </c>
      <c r="C104" s="12" t="s">
        <v>84</v>
      </c>
      <c r="D104" s="13" t="s">
        <v>458</v>
      </c>
      <c r="E104" s="15" t="s">
        <v>229</v>
      </c>
      <c r="F104" s="13" t="s">
        <v>459</v>
      </c>
      <c r="G104" s="13" t="s">
        <v>261</v>
      </c>
      <c r="H104" s="12" t="s">
        <v>222</v>
      </c>
      <c r="I104" s="12">
        <v>202</v>
      </c>
    </row>
    <row r="105" spans="1:9" ht="40.5" customHeight="1" x14ac:dyDescent="0.3">
      <c r="A105" s="10" t="s">
        <v>43</v>
      </c>
      <c r="B105" s="11" t="s">
        <v>460</v>
      </c>
      <c r="C105" s="10" t="s">
        <v>45</v>
      </c>
      <c r="D105" s="11" t="s">
        <v>461</v>
      </c>
      <c r="E105" s="14" t="s">
        <v>219</v>
      </c>
      <c r="F105" s="11" t="s">
        <v>462</v>
      </c>
      <c r="G105" s="11" t="s">
        <v>463</v>
      </c>
      <c r="H105" s="10" t="s">
        <v>222</v>
      </c>
      <c r="I105" s="10">
        <v>200</v>
      </c>
    </row>
    <row r="106" spans="1:9" ht="40.5" customHeight="1" x14ac:dyDescent="0.3">
      <c r="A106" s="12" t="s">
        <v>43</v>
      </c>
      <c r="B106" s="13" t="s">
        <v>464</v>
      </c>
      <c r="C106" s="12" t="s">
        <v>45</v>
      </c>
      <c r="D106" s="13" t="s">
        <v>461</v>
      </c>
      <c r="E106" s="14" t="s">
        <v>219</v>
      </c>
      <c r="F106" s="13" t="s">
        <v>465</v>
      </c>
      <c r="G106" s="13" t="s">
        <v>466</v>
      </c>
      <c r="H106" s="12" t="s">
        <v>222</v>
      </c>
      <c r="I106" s="12">
        <v>200</v>
      </c>
    </row>
    <row r="107" spans="1:9" ht="40.5" customHeight="1" x14ac:dyDescent="0.3">
      <c r="A107" s="10" t="s">
        <v>43</v>
      </c>
      <c r="B107" s="11" t="s">
        <v>467</v>
      </c>
      <c r="C107" s="10" t="s">
        <v>45</v>
      </c>
      <c r="D107" s="11" t="s">
        <v>461</v>
      </c>
      <c r="E107" s="15" t="s">
        <v>229</v>
      </c>
      <c r="F107" s="11" t="s">
        <v>465</v>
      </c>
      <c r="G107" s="11" t="s">
        <v>468</v>
      </c>
      <c r="H107" s="10" t="s">
        <v>222</v>
      </c>
      <c r="I107" s="10">
        <v>201</v>
      </c>
    </row>
    <row r="108" spans="1:9" ht="40.5" customHeight="1" x14ac:dyDescent="0.3">
      <c r="A108" s="12" t="s">
        <v>43</v>
      </c>
      <c r="B108" s="13" t="s">
        <v>469</v>
      </c>
      <c r="C108" s="12" t="s">
        <v>45</v>
      </c>
      <c r="D108" s="13" t="s">
        <v>461</v>
      </c>
      <c r="E108" s="16" t="s">
        <v>234</v>
      </c>
      <c r="F108" s="13" t="s">
        <v>462</v>
      </c>
      <c r="G108" s="13" t="s">
        <v>470</v>
      </c>
      <c r="H108" s="12" t="s">
        <v>222</v>
      </c>
      <c r="I108" s="12">
        <v>200</v>
      </c>
    </row>
    <row r="109" spans="1:9" ht="40.5" customHeight="1" x14ac:dyDescent="0.3">
      <c r="A109" s="10" t="s">
        <v>43</v>
      </c>
      <c r="B109" s="11" t="s">
        <v>471</v>
      </c>
      <c r="C109" s="10" t="s">
        <v>45</v>
      </c>
      <c r="D109" s="11" t="s">
        <v>461</v>
      </c>
      <c r="E109" s="15" t="s">
        <v>229</v>
      </c>
      <c r="F109" s="11" t="s">
        <v>472</v>
      </c>
      <c r="G109" s="11" t="s">
        <v>473</v>
      </c>
      <c r="H109" s="10" t="s">
        <v>222</v>
      </c>
      <c r="I109" s="10">
        <v>201</v>
      </c>
    </row>
    <row r="110" spans="1:9" ht="40.5" customHeight="1" x14ac:dyDescent="0.3">
      <c r="A110" s="12" t="s">
        <v>43</v>
      </c>
      <c r="B110" s="13" t="s">
        <v>474</v>
      </c>
      <c r="C110" s="12" t="s">
        <v>45</v>
      </c>
      <c r="D110" s="13" t="s">
        <v>461</v>
      </c>
      <c r="E110" s="17" t="s">
        <v>255</v>
      </c>
      <c r="F110" s="13" t="s">
        <v>475</v>
      </c>
      <c r="G110" s="13" t="s">
        <v>476</v>
      </c>
      <c r="H110" s="12" t="s">
        <v>222</v>
      </c>
      <c r="I110" s="12">
        <v>204</v>
      </c>
    </row>
    <row r="111" spans="1:9" ht="40.5" customHeight="1" x14ac:dyDescent="0.3">
      <c r="A111" s="10" t="s">
        <v>49</v>
      </c>
      <c r="B111" s="11" t="s">
        <v>477</v>
      </c>
      <c r="C111" s="10" t="s">
        <v>45</v>
      </c>
      <c r="D111" s="11" t="s">
        <v>478</v>
      </c>
      <c r="E111" s="14" t="s">
        <v>219</v>
      </c>
      <c r="F111" s="11" t="s">
        <v>479</v>
      </c>
      <c r="G111" s="11" t="s">
        <v>480</v>
      </c>
      <c r="H111" s="10" t="s">
        <v>222</v>
      </c>
      <c r="I111" s="10">
        <v>200</v>
      </c>
    </row>
    <row r="112" spans="1:9" ht="40.5" customHeight="1" x14ac:dyDescent="0.3">
      <c r="A112" s="12" t="s">
        <v>49</v>
      </c>
      <c r="B112" s="13" t="s">
        <v>481</v>
      </c>
      <c r="C112" s="12" t="s">
        <v>45</v>
      </c>
      <c r="D112" s="13" t="s">
        <v>478</v>
      </c>
      <c r="E112" s="14" t="s">
        <v>219</v>
      </c>
      <c r="F112" s="13" t="s">
        <v>482</v>
      </c>
      <c r="G112" s="13" t="s">
        <v>480</v>
      </c>
      <c r="H112" s="12" t="s">
        <v>222</v>
      </c>
      <c r="I112" s="12">
        <v>200</v>
      </c>
    </row>
    <row r="113" spans="1:9" ht="40.5" customHeight="1" x14ac:dyDescent="0.3">
      <c r="A113" s="10" t="s">
        <v>49</v>
      </c>
      <c r="B113" s="11" t="s">
        <v>483</v>
      </c>
      <c r="C113" s="10" t="s">
        <v>45</v>
      </c>
      <c r="D113" s="11" t="s">
        <v>478</v>
      </c>
      <c r="E113" s="14" t="s">
        <v>219</v>
      </c>
      <c r="F113" s="11" t="s">
        <v>484</v>
      </c>
      <c r="G113" s="11" t="s">
        <v>480</v>
      </c>
      <c r="H113" s="10" t="s">
        <v>222</v>
      </c>
      <c r="I113" s="10">
        <v>200</v>
      </c>
    </row>
    <row r="114" spans="1:9" ht="40.5" customHeight="1" x14ac:dyDescent="0.3">
      <c r="A114" s="12" t="s">
        <v>54</v>
      </c>
      <c r="B114" s="13" t="s">
        <v>485</v>
      </c>
      <c r="C114" s="12" t="s">
        <v>45</v>
      </c>
      <c r="D114" s="13" t="s">
        <v>486</v>
      </c>
      <c r="E114" s="15" t="s">
        <v>229</v>
      </c>
      <c r="F114" s="13" t="s">
        <v>487</v>
      </c>
      <c r="G114" s="13" t="s">
        <v>488</v>
      </c>
      <c r="H114" s="12" t="s">
        <v>222</v>
      </c>
      <c r="I114" s="12">
        <v>201</v>
      </c>
    </row>
    <row r="115" spans="1:9" ht="40.5" customHeight="1" x14ac:dyDescent="0.3">
      <c r="A115" s="10" t="s">
        <v>54</v>
      </c>
      <c r="B115" s="11" t="s">
        <v>489</v>
      </c>
      <c r="C115" s="10" t="s">
        <v>45</v>
      </c>
      <c r="D115" s="11" t="s">
        <v>486</v>
      </c>
      <c r="E115" s="14" t="s">
        <v>219</v>
      </c>
      <c r="F115" s="11" t="s">
        <v>490</v>
      </c>
      <c r="G115" s="11" t="s">
        <v>463</v>
      </c>
      <c r="H115" s="10" t="s">
        <v>222</v>
      </c>
      <c r="I115" s="10">
        <v>200</v>
      </c>
    </row>
    <row r="116" spans="1:9" ht="40.5" customHeight="1" x14ac:dyDescent="0.3">
      <c r="A116" s="12" t="s">
        <v>54</v>
      </c>
      <c r="B116" s="13" t="s">
        <v>491</v>
      </c>
      <c r="C116" s="12" t="s">
        <v>45</v>
      </c>
      <c r="D116" s="13" t="s">
        <v>486</v>
      </c>
      <c r="E116" s="15" t="s">
        <v>229</v>
      </c>
      <c r="F116" s="13" t="s">
        <v>492</v>
      </c>
      <c r="G116" s="13" t="s">
        <v>493</v>
      </c>
      <c r="H116" s="12" t="s">
        <v>222</v>
      </c>
      <c r="I116" s="12">
        <v>200</v>
      </c>
    </row>
    <row r="117" spans="1:9" ht="40.5" customHeight="1" x14ac:dyDescent="0.3">
      <c r="A117" s="10" t="s">
        <v>59</v>
      </c>
      <c r="B117" s="11" t="s">
        <v>494</v>
      </c>
      <c r="C117" s="10" t="s">
        <v>45</v>
      </c>
      <c r="D117" s="11" t="s">
        <v>495</v>
      </c>
      <c r="E117" s="14" t="s">
        <v>219</v>
      </c>
      <c r="F117" s="11" t="s">
        <v>496</v>
      </c>
      <c r="G117" s="11" t="s">
        <v>497</v>
      </c>
      <c r="H117" s="10" t="s">
        <v>222</v>
      </c>
      <c r="I117" s="10">
        <v>200</v>
      </c>
    </row>
    <row r="118" spans="1:9" ht="40.5" customHeight="1" x14ac:dyDescent="0.3">
      <c r="A118" s="12" t="s">
        <v>59</v>
      </c>
      <c r="B118" s="13" t="s">
        <v>498</v>
      </c>
      <c r="C118" s="12" t="s">
        <v>45</v>
      </c>
      <c r="D118" s="13" t="s">
        <v>495</v>
      </c>
      <c r="E118" s="14" t="s">
        <v>219</v>
      </c>
      <c r="F118" s="13" t="s">
        <v>499</v>
      </c>
      <c r="G118" s="13" t="s">
        <v>463</v>
      </c>
      <c r="H118" s="12" t="s">
        <v>222</v>
      </c>
      <c r="I118" s="12">
        <v>200</v>
      </c>
    </row>
    <row r="119" spans="1:9" ht="40.5" customHeight="1" x14ac:dyDescent="0.3">
      <c r="A119" s="10" t="s">
        <v>59</v>
      </c>
      <c r="B119" s="11" t="s">
        <v>500</v>
      </c>
      <c r="C119" s="10" t="s">
        <v>45</v>
      </c>
      <c r="D119" s="11" t="s">
        <v>495</v>
      </c>
      <c r="E119" s="14" t="s">
        <v>219</v>
      </c>
      <c r="F119" s="11" t="s">
        <v>501</v>
      </c>
      <c r="G119" s="11" t="s">
        <v>463</v>
      </c>
      <c r="H119" s="10" t="s">
        <v>222</v>
      </c>
      <c r="I119" s="10">
        <v>200</v>
      </c>
    </row>
    <row r="120" spans="1:9" ht="40.5" customHeight="1" x14ac:dyDescent="0.3">
      <c r="A120" s="12" t="s">
        <v>59</v>
      </c>
      <c r="B120" s="13" t="s">
        <v>502</v>
      </c>
      <c r="C120" s="12" t="s">
        <v>45</v>
      </c>
      <c r="D120" s="13" t="s">
        <v>495</v>
      </c>
      <c r="E120" s="14" t="s">
        <v>219</v>
      </c>
      <c r="F120" s="13" t="s">
        <v>503</v>
      </c>
      <c r="G120" s="13" t="s">
        <v>504</v>
      </c>
      <c r="H120" s="12" t="s">
        <v>222</v>
      </c>
      <c r="I120" s="12">
        <v>200</v>
      </c>
    </row>
    <row r="121" spans="1:9" ht="40.5" customHeight="1" x14ac:dyDescent="0.3">
      <c r="A121" s="10" t="s">
        <v>59</v>
      </c>
      <c r="B121" s="11" t="s">
        <v>505</v>
      </c>
      <c r="C121" s="10" t="s">
        <v>45</v>
      </c>
      <c r="D121" s="11" t="s">
        <v>495</v>
      </c>
      <c r="E121" s="14" t="s">
        <v>219</v>
      </c>
      <c r="F121" s="11" t="s">
        <v>506</v>
      </c>
      <c r="G121" s="11" t="s">
        <v>507</v>
      </c>
      <c r="H121" s="10" t="s">
        <v>222</v>
      </c>
      <c r="I121" s="10">
        <v>200</v>
      </c>
    </row>
    <row r="122" spans="1:9" ht="40.5" customHeight="1" x14ac:dyDescent="0.3">
      <c r="A122" s="12" t="s">
        <v>64</v>
      </c>
      <c r="B122" s="13" t="s">
        <v>508</v>
      </c>
      <c r="C122" s="12" t="s">
        <v>45</v>
      </c>
      <c r="D122" s="13" t="s">
        <v>509</v>
      </c>
      <c r="E122" s="15" t="s">
        <v>229</v>
      </c>
      <c r="F122" s="13" t="s">
        <v>510</v>
      </c>
      <c r="G122" s="13" t="s">
        <v>511</v>
      </c>
      <c r="H122" s="12" t="s">
        <v>222</v>
      </c>
      <c r="I122" s="12">
        <v>202</v>
      </c>
    </row>
    <row r="123" spans="1:9" ht="40.5" customHeight="1" x14ac:dyDescent="0.3">
      <c r="A123" s="10" t="s">
        <v>64</v>
      </c>
      <c r="B123" s="11" t="s">
        <v>512</v>
      </c>
      <c r="C123" s="10" t="s">
        <v>45</v>
      </c>
      <c r="D123" s="11" t="s">
        <v>509</v>
      </c>
      <c r="E123" s="14" t="s">
        <v>219</v>
      </c>
      <c r="F123" s="11" t="s">
        <v>513</v>
      </c>
      <c r="G123" s="11" t="s">
        <v>463</v>
      </c>
      <c r="H123" s="10" t="s">
        <v>222</v>
      </c>
      <c r="I123" s="10">
        <v>200</v>
      </c>
    </row>
    <row r="124" spans="1:9" ht="40.5" customHeight="1" x14ac:dyDescent="0.3">
      <c r="A124" s="12" t="s">
        <v>64</v>
      </c>
      <c r="B124" s="13" t="s">
        <v>514</v>
      </c>
      <c r="C124" s="12" t="s">
        <v>45</v>
      </c>
      <c r="D124" s="13" t="s">
        <v>509</v>
      </c>
      <c r="E124" s="14" t="s">
        <v>219</v>
      </c>
      <c r="F124" s="13" t="s">
        <v>515</v>
      </c>
      <c r="G124" s="13" t="s">
        <v>463</v>
      </c>
      <c r="H124" s="12" t="s">
        <v>222</v>
      </c>
      <c r="I124" s="12">
        <v>200</v>
      </c>
    </row>
    <row r="125" spans="1:9" ht="40.5" customHeight="1" x14ac:dyDescent="0.3">
      <c r="A125" s="10" t="s">
        <v>68</v>
      </c>
      <c r="B125" s="11" t="s">
        <v>516</v>
      </c>
      <c r="C125" s="10" t="s">
        <v>45</v>
      </c>
      <c r="D125" s="11" t="s">
        <v>517</v>
      </c>
      <c r="E125" s="15" t="s">
        <v>229</v>
      </c>
      <c r="F125" s="11" t="s">
        <v>518</v>
      </c>
      <c r="G125" s="11" t="s">
        <v>519</v>
      </c>
      <c r="H125" s="10" t="s">
        <v>222</v>
      </c>
      <c r="I125" s="10">
        <v>202</v>
      </c>
    </row>
    <row r="126" spans="1:9" ht="40.5" customHeight="1" x14ac:dyDescent="0.3">
      <c r="A126" s="12" t="s">
        <v>68</v>
      </c>
      <c r="B126" s="13" t="s">
        <v>520</v>
      </c>
      <c r="C126" s="12" t="s">
        <v>45</v>
      </c>
      <c r="D126" s="13" t="s">
        <v>517</v>
      </c>
      <c r="E126" s="15" t="s">
        <v>229</v>
      </c>
      <c r="F126" s="13" t="s">
        <v>521</v>
      </c>
      <c r="G126" s="13" t="s">
        <v>522</v>
      </c>
      <c r="H126" s="12" t="s">
        <v>222</v>
      </c>
      <c r="I126" s="12">
        <v>200</v>
      </c>
    </row>
    <row r="127" spans="1:9" ht="40.5" customHeight="1" x14ac:dyDescent="0.3">
      <c r="A127" s="10" t="s">
        <v>68</v>
      </c>
      <c r="B127" s="11" t="s">
        <v>523</v>
      </c>
      <c r="C127" s="10" t="s">
        <v>45</v>
      </c>
      <c r="D127" s="11" t="s">
        <v>517</v>
      </c>
      <c r="E127" s="15" t="s">
        <v>229</v>
      </c>
      <c r="F127" s="11" t="s">
        <v>524</v>
      </c>
      <c r="G127" s="11" t="s">
        <v>525</v>
      </c>
      <c r="H127" s="10" t="s">
        <v>222</v>
      </c>
      <c r="I127" s="10">
        <v>201</v>
      </c>
    </row>
    <row r="128" spans="1:9" ht="79.5" customHeight="1" x14ac:dyDescent="0.3">
      <c r="A128" s="12" t="s">
        <v>72</v>
      </c>
      <c r="B128" s="13" t="s">
        <v>526</v>
      </c>
      <c r="C128" s="12" t="s">
        <v>45</v>
      </c>
      <c r="D128" s="13" t="s">
        <v>527</v>
      </c>
      <c r="E128" s="15" t="s">
        <v>229</v>
      </c>
      <c r="F128" s="13" t="s">
        <v>528</v>
      </c>
      <c r="G128" s="13" t="s">
        <v>529</v>
      </c>
      <c r="H128" s="12" t="s">
        <v>222</v>
      </c>
      <c r="I128" s="12">
        <v>201</v>
      </c>
    </row>
    <row r="129" spans="1:9" ht="79.5" customHeight="1" x14ac:dyDescent="0.3">
      <c r="A129" s="10" t="s">
        <v>72</v>
      </c>
      <c r="B129" s="11" t="s">
        <v>530</v>
      </c>
      <c r="C129" s="10" t="s">
        <v>45</v>
      </c>
      <c r="D129" s="11" t="s">
        <v>527</v>
      </c>
      <c r="E129" s="14" t="s">
        <v>219</v>
      </c>
      <c r="F129" s="11" t="s">
        <v>531</v>
      </c>
      <c r="G129" s="11" t="s">
        <v>532</v>
      </c>
      <c r="H129" s="10" t="s">
        <v>222</v>
      </c>
      <c r="I129" s="10">
        <v>200</v>
      </c>
    </row>
    <row r="130" spans="1:9" ht="79.5" customHeight="1" x14ac:dyDescent="0.3">
      <c r="A130" s="12" t="s">
        <v>72</v>
      </c>
      <c r="B130" s="13" t="s">
        <v>533</v>
      </c>
      <c r="C130" s="12" t="s">
        <v>45</v>
      </c>
      <c r="D130" s="13" t="s">
        <v>527</v>
      </c>
      <c r="E130" s="17" t="s">
        <v>255</v>
      </c>
      <c r="F130" s="13" t="s">
        <v>534</v>
      </c>
      <c r="G130" s="13" t="s">
        <v>535</v>
      </c>
      <c r="H130" s="12" t="s">
        <v>222</v>
      </c>
      <c r="I130" s="12">
        <v>204</v>
      </c>
    </row>
    <row r="131" spans="1:9" ht="40.5" customHeight="1" x14ac:dyDescent="0.3">
      <c r="A131" s="10" t="s">
        <v>77</v>
      </c>
      <c r="B131" s="11" t="s">
        <v>536</v>
      </c>
      <c r="C131" s="10" t="s">
        <v>45</v>
      </c>
      <c r="D131" s="11" t="s">
        <v>537</v>
      </c>
      <c r="E131" s="14" t="s">
        <v>219</v>
      </c>
      <c r="F131" s="11" t="s">
        <v>538</v>
      </c>
      <c r="G131" s="11" t="s">
        <v>539</v>
      </c>
      <c r="H131" s="10" t="s">
        <v>222</v>
      </c>
      <c r="I131" s="10">
        <v>200</v>
      </c>
    </row>
    <row r="132" spans="1:9" ht="40.5" customHeight="1" x14ac:dyDescent="0.3">
      <c r="A132" s="12" t="s">
        <v>77</v>
      </c>
      <c r="B132" s="13" t="s">
        <v>540</v>
      </c>
      <c r="C132" s="12" t="s">
        <v>45</v>
      </c>
      <c r="D132" s="13" t="s">
        <v>537</v>
      </c>
      <c r="E132" s="15" t="s">
        <v>229</v>
      </c>
      <c r="F132" s="13" t="s">
        <v>541</v>
      </c>
      <c r="G132" s="13" t="s">
        <v>542</v>
      </c>
      <c r="H132" s="12" t="s">
        <v>222</v>
      </c>
      <c r="I132" s="12">
        <v>201</v>
      </c>
    </row>
    <row r="133" spans="1:9" ht="40.5" customHeight="1" x14ac:dyDescent="0.3">
      <c r="A133" s="10" t="s">
        <v>77</v>
      </c>
      <c r="B133" s="11" t="s">
        <v>543</v>
      </c>
      <c r="C133" s="10" t="s">
        <v>45</v>
      </c>
      <c r="D133" s="11" t="s">
        <v>537</v>
      </c>
      <c r="E133" s="16" t="s">
        <v>234</v>
      </c>
      <c r="F133" s="11" t="s">
        <v>544</v>
      </c>
      <c r="G133" s="11" t="s">
        <v>545</v>
      </c>
      <c r="H133" s="10" t="s">
        <v>222</v>
      </c>
      <c r="I133" s="10">
        <v>200</v>
      </c>
    </row>
    <row r="134" spans="1:9" ht="40.5" customHeight="1" x14ac:dyDescent="0.3">
      <c r="A134" s="12" t="s">
        <v>77</v>
      </c>
      <c r="B134" s="13" t="s">
        <v>546</v>
      </c>
      <c r="C134" s="12" t="s">
        <v>45</v>
      </c>
      <c r="D134" s="13" t="s">
        <v>537</v>
      </c>
      <c r="E134" s="15" t="s">
        <v>229</v>
      </c>
      <c r="F134" s="13" t="s">
        <v>547</v>
      </c>
      <c r="G134" s="13" t="s">
        <v>548</v>
      </c>
      <c r="H134" s="12" t="s">
        <v>222</v>
      </c>
      <c r="I134" s="12">
        <v>202</v>
      </c>
    </row>
    <row r="135" spans="1:9" ht="40.5" customHeight="1" x14ac:dyDescent="0.3">
      <c r="A135" s="10" t="s">
        <v>77</v>
      </c>
      <c r="B135" s="11" t="s">
        <v>549</v>
      </c>
      <c r="C135" s="10" t="s">
        <v>45</v>
      </c>
      <c r="D135" s="11" t="s">
        <v>537</v>
      </c>
      <c r="E135" s="14" t="s">
        <v>219</v>
      </c>
      <c r="F135" s="11" t="s">
        <v>550</v>
      </c>
      <c r="G135" s="11" t="s">
        <v>463</v>
      </c>
      <c r="H135" s="10" t="s">
        <v>222</v>
      </c>
      <c r="I135" s="10">
        <v>200</v>
      </c>
    </row>
  </sheetData>
  <autoFilter ref="A4:I135" xr:uid="{00000000-0009-0000-0000-000002000000}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6"/>
  <sheetViews>
    <sheetView showGridLines="0" zoomScaleNormal="100" workbookViewId="0">
      <pane xSplit="3" ySplit="5" topLeftCell="D6" activePane="bottomRight" state="frozen"/>
      <selection pane="topRight" activeCell="D1" sqref="D1"/>
      <selection pane="bottomLeft" activeCell="A6" sqref="A6"/>
      <selection pane="bottomRight"/>
    </sheetView>
  </sheetViews>
  <sheetFormatPr baseColWidth="10" defaultColWidth="8.6640625" defaultRowHeight="14.4" x14ac:dyDescent="0.3"/>
  <cols>
    <col min="1" max="1" width="22" customWidth="1"/>
    <col min="2" max="2" width="10" customWidth="1"/>
    <col min="3" max="3" width="32" customWidth="1"/>
    <col min="4" max="4" width="40" customWidth="1"/>
    <col min="5" max="6" width="52" customWidth="1"/>
    <col min="7" max="7" width="10" customWidth="1"/>
    <col min="8" max="8" width="22" customWidth="1"/>
  </cols>
  <sheetData>
    <row r="1" spans="1:8" ht="17.399999999999999" x14ac:dyDescent="0.3">
      <c r="A1" s="1" t="s">
        <v>551</v>
      </c>
    </row>
    <row r="2" spans="1:8" x14ac:dyDescent="0.3">
      <c r="A2" s="2" t="s">
        <v>552</v>
      </c>
    </row>
    <row r="3" spans="1:8" ht="105" customHeight="1" x14ac:dyDescent="0.3">
      <c r="A3" s="7" t="s">
        <v>553</v>
      </c>
      <c r="C3" s="18" t="s">
        <v>554</v>
      </c>
    </row>
    <row r="5" spans="1:8" ht="26.4" x14ac:dyDescent="0.3">
      <c r="A5" s="3" t="s">
        <v>555</v>
      </c>
      <c r="B5" s="3" t="s">
        <v>38</v>
      </c>
      <c r="C5" s="3" t="s">
        <v>37</v>
      </c>
      <c r="D5" s="3" t="s">
        <v>556</v>
      </c>
      <c r="E5" s="3" t="s">
        <v>557</v>
      </c>
      <c r="F5" s="3" t="s">
        <v>558</v>
      </c>
      <c r="G5" s="3" t="s">
        <v>559</v>
      </c>
      <c r="H5" s="3" t="s">
        <v>560</v>
      </c>
    </row>
    <row r="6" spans="1:8" ht="159.75" customHeight="1" x14ac:dyDescent="0.3">
      <c r="A6" s="10" t="s">
        <v>561</v>
      </c>
      <c r="B6" s="10" t="s">
        <v>84</v>
      </c>
      <c r="C6" s="11" t="s">
        <v>83</v>
      </c>
      <c r="D6" s="19" t="s">
        <v>562</v>
      </c>
      <c r="E6" s="18" t="s">
        <v>563</v>
      </c>
      <c r="F6" s="18" t="s">
        <v>564</v>
      </c>
      <c r="G6" s="10">
        <v>200</v>
      </c>
      <c r="H6" s="10" t="s">
        <v>565</v>
      </c>
    </row>
    <row r="7" spans="1:8" ht="108" customHeight="1" x14ac:dyDescent="0.3">
      <c r="A7" s="12" t="s">
        <v>566</v>
      </c>
      <c r="B7" s="12" t="s">
        <v>84</v>
      </c>
      <c r="C7" s="13" t="s">
        <v>87</v>
      </c>
      <c r="D7" s="20" t="s">
        <v>567</v>
      </c>
      <c r="E7" s="21" t="s">
        <v>563</v>
      </c>
      <c r="F7" s="21" t="s">
        <v>568</v>
      </c>
      <c r="G7" s="12">
        <v>200</v>
      </c>
      <c r="H7" s="12" t="s">
        <v>565</v>
      </c>
    </row>
    <row r="8" spans="1:8" ht="133.5" customHeight="1" x14ac:dyDescent="0.3">
      <c r="A8" s="10" t="s">
        <v>569</v>
      </c>
      <c r="B8" s="10" t="s">
        <v>84</v>
      </c>
      <c r="C8" s="11" t="s">
        <v>91</v>
      </c>
      <c r="D8" s="19" t="s">
        <v>570</v>
      </c>
      <c r="E8" s="18" t="s">
        <v>571</v>
      </c>
      <c r="F8" s="18" t="s">
        <v>572</v>
      </c>
      <c r="G8" s="10">
        <v>201</v>
      </c>
      <c r="H8" s="10" t="s">
        <v>573</v>
      </c>
    </row>
    <row r="9" spans="1:8" ht="69" customHeight="1" x14ac:dyDescent="0.3">
      <c r="A9" s="12" t="s">
        <v>574</v>
      </c>
      <c r="B9" s="12" t="s">
        <v>84</v>
      </c>
      <c r="C9" s="13" t="s">
        <v>94</v>
      </c>
      <c r="D9" s="20" t="s">
        <v>575</v>
      </c>
      <c r="E9" s="21" t="s">
        <v>576</v>
      </c>
      <c r="F9" s="21" t="s">
        <v>577</v>
      </c>
      <c r="G9" s="12">
        <v>200</v>
      </c>
      <c r="H9" s="12" t="s">
        <v>578</v>
      </c>
    </row>
    <row r="10" spans="1:8" ht="186" customHeight="1" x14ac:dyDescent="0.3">
      <c r="A10" s="10" t="s">
        <v>579</v>
      </c>
      <c r="B10" s="10" t="s">
        <v>84</v>
      </c>
      <c r="C10" s="11" t="s">
        <v>97</v>
      </c>
      <c r="D10" s="19" t="s">
        <v>580</v>
      </c>
      <c r="E10" s="18" t="s">
        <v>563</v>
      </c>
      <c r="F10" s="18" t="s">
        <v>581</v>
      </c>
      <c r="G10" s="10">
        <v>200</v>
      </c>
      <c r="H10" s="10" t="s">
        <v>565</v>
      </c>
    </row>
    <row r="11" spans="1:8" ht="81.75" customHeight="1" x14ac:dyDescent="0.3">
      <c r="A11" s="12" t="s">
        <v>582</v>
      </c>
      <c r="B11" s="12" t="s">
        <v>84</v>
      </c>
      <c r="C11" s="13" t="s">
        <v>101</v>
      </c>
      <c r="D11" s="20" t="s">
        <v>583</v>
      </c>
      <c r="E11" s="21" t="s">
        <v>584</v>
      </c>
      <c r="F11" s="21" t="s">
        <v>585</v>
      </c>
      <c r="G11" s="12">
        <v>200</v>
      </c>
      <c r="H11" s="12" t="s">
        <v>586</v>
      </c>
    </row>
    <row r="12" spans="1:8" ht="94.5" customHeight="1" x14ac:dyDescent="0.3">
      <c r="A12" s="10" t="s">
        <v>587</v>
      </c>
      <c r="B12" s="10" t="s">
        <v>84</v>
      </c>
      <c r="C12" s="11" t="s">
        <v>104</v>
      </c>
      <c r="D12" s="19" t="s">
        <v>588</v>
      </c>
      <c r="E12" s="18" t="s">
        <v>563</v>
      </c>
      <c r="F12" s="18" t="s">
        <v>589</v>
      </c>
      <c r="G12" s="10">
        <v>200</v>
      </c>
      <c r="H12" s="10" t="s">
        <v>565</v>
      </c>
    </row>
    <row r="13" spans="1:8" ht="81.75" customHeight="1" x14ac:dyDescent="0.3">
      <c r="A13" s="12" t="s">
        <v>590</v>
      </c>
      <c r="B13" s="12" t="s">
        <v>84</v>
      </c>
      <c r="C13" s="13" t="s">
        <v>108</v>
      </c>
      <c r="D13" s="20" t="s">
        <v>591</v>
      </c>
      <c r="E13" s="21" t="s">
        <v>592</v>
      </c>
      <c r="F13" s="21" t="s">
        <v>593</v>
      </c>
      <c r="G13" s="12">
        <v>201</v>
      </c>
      <c r="H13" s="12" t="s">
        <v>573</v>
      </c>
    </row>
    <row r="14" spans="1:8" ht="30" customHeight="1" x14ac:dyDescent="0.3">
      <c r="A14" s="10" t="s">
        <v>594</v>
      </c>
      <c r="B14" s="10" t="s">
        <v>84</v>
      </c>
      <c r="C14" s="11" t="s">
        <v>112</v>
      </c>
      <c r="D14" s="19" t="s">
        <v>595</v>
      </c>
      <c r="E14" s="18" t="s">
        <v>563</v>
      </c>
      <c r="F14" s="18" t="s">
        <v>596</v>
      </c>
      <c r="G14" s="10">
        <v>204</v>
      </c>
      <c r="H14" s="10" t="s">
        <v>565</v>
      </c>
    </row>
    <row r="15" spans="1:8" ht="81.75" customHeight="1" x14ac:dyDescent="0.3">
      <c r="A15" s="12" t="s">
        <v>597</v>
      </c>
      <c r="B15" s="12" t="s">
        <v>84</v>
      </c>
      <c r="C15" s="13" t="s">
        <v>116</v>
      </c>
      <c r="D15" s="20" t="s">
        <v>598</v>
      </c>
      <c r="E15" s="21" t="s">
        <v>599</v>
      </c>
      <c r="F15" s="21" t="s">
        <v>600</v>
      </c>
      <c r="G15" s="12">
        <v>202</v>
      </c>
      <c r="H15" s="12" t="s">
        <v>601</v>
      </c>
    </row>
    <row r="16" spans="1:8" ht="198.75" customHeight="1" x14ac:dyDescent="0.3">
      <c r="A16" s="10" t="s">
        <v>43</v>
      </c>
      <c r="B16" s="10" t="s">
        <v>45</v>
      </c>
      <c r="C16" s="11" t="s">
        <v>460</v>
      </c>
      <c r="D16" s="19" t="s">
        <v>602</v>
      </c>
      <c r="E16" s="18" t="s">
        <v>563</v>
      </c>
      <c r="F16" s="18" t="s">
        <v>603</v>
      </c>
      <c r="G16" s="10">
        <v>200</v>
      </c>
      <c r="H16" s="10" t="s">
        <v>604</v>
      </c>
    </row>
    <row r="17" spans="1:8" ht="147" customHeight="1" x14ac:dyDescent="0.3">
      <c r="A17" s="12" t="s">
        <v>43</v>
      </c>
      <c r="B17" s="12" t="s">
        <v>45</v>
      </c>
      <c r="C17" s="13" t="s">
        <v>464</v>
      </c>
      <c r="D17" s="20" t="s">
        <v>605</v>
      </c>
      <c r="E17" s="21" t="s">
        <v>563</v>
      </c>
      <c r="F17" s="21" t="s">
        <v>606</v>
      </c>
      <c r="G17" s="12">
        <v>200</v>
      </c>
      <c r="H17" s="12" t="s">
        <v>607</v>
      </c>
    </row>
    <row r="18" spans="1:8" ht="94.5" customHeight="1" x14ac:dyDescent="0.3">
      <c r="A18" s="10" t="s">
        <v>43</v>
      </c>
      <c r="B18" s="10" t="s">
        <v>45</v>
      </c>
      <c r="C18" s="11" t="s">
        <v>467</v>
      </c>
      <c r="D18" s="19" t="s">
        <v>608</v>
      </c>
      <c r="E18" s="18" t="s">
        <v>609</v>
      </c>
      <c r="F18" s="18" t="s">
        <v>610</v>
      </c>
      <c r="G18" s="10">
        <v>201</v>
      </c>
      <c r="H18" s="10" t="s">
        <v>573</v>
      </c>
    </row>
    <row r="19" spans="1:8" ht="69" customHeight="1" x14ac:dyDescent="0.3">
      <c r="A19" s="12" t="s">
        <v>43</v>
      </c>
      <c r="B19" s="12" t="s">
        <v>45</v>
      </c>
      <c r="C19" s="13" t="s">
        <v>469</v>
      </c>
      <c r="D19" s="20" t="s">
        <v>611</v>
      </c>
      <c r="E19" s="21" t="s">
        <v>612</v>
      </c>
      <c r="F19" s="21" t="s">
        <v>613</v>
      </c>
      <c r="G19" s="12">
        <v>200</v>
      </c>
      <c r="H19" s="12" t="s">
        <v>614</v>
      </c>
    </row>
    <row r="20" spans="1:8" ht="94.5" customHeight="1" x14ac:dyDescent="0.3">
      <c r="A20" s="10" t="s">
        <v>43</v>
      </c>
      <c r="B20" s="10" t="s">
        <v>45</v>
      </c>
      <c r="C20" s="11" t="s">
        <v>471</v>
      </c>
      <c r="D20" s="19" t="s">
        <v>615</v>
      </c>
      <c r="E20" s="18" t="s">
        <v>616</v>
      </c>
      <c r="F20" s="18" t="s">
        <v>617</v>
      </c>
      <c r="G20" s="10">
        <v>201</v>
      </c>
      <c r="H20" s="10" t="s">
        <v>614</v>
      </c>
    </row>
    <row r="21" spans="1:8" ht="16.5" customHeight="1" x14ac:dyDescent="0.3">
      <c r="A21" s="12" t="s">
        <v>43</v>
      </c>
      <c r="B21" s="12" t="s">
        <v>45</v>
      </c>
      <c r="C21" s="13" t="s">
        <v>474</v>
      </c>
      <c r="D21" s="20" t="s">
        <v>618</v>
      </c>
      <c r="E21" s="21" t="s">
        <v>563</v>
      </c>
      <c r="F21" s="21" t="s">
        <v>596</v>
      </c>
      <c r="G21" s="12">
        <v>204</v>
      </c>
      <c r="H21" s="12" t="s">
        <v>619</v>
      </c>
    </row>
    <row r="22" spans="1:8" ht="94.5" customHeight="1" x14ac:dyDescent="0.3">
      <c r="A22" s="10" t="s">
        <v>49</v>
      </c>
      <c r="B22" s="10" t="s">
        <v>45</v>
      </c>
      <c r="C22" s="11" t="s">
        <v>477</v>
      </c>
      <c r="D22" s="19" t="s">
        <v>620</v>
      </c>
      <c r="E22" s="18" t="s">
        <v>563</v>
      </c>
      <c r="F22" s="18" t="s">
        <v>621</v>
      </c>
      <c r="G22" s="10">
        <v>200</v>
      </c>
      <c r="H22" s="10" t="s">
        <v>604</v>
      </c>
    </row>
    <row r="23" spans="1:8" ht="81.75" customHeight="1" x14ac:dyDescent="0.3">
      <c r="A23" s="12" t="s">
        <v>49</v>
      </c>
      <c r="B23" s="12" t="s">
        <v>45</v>
      </c>
      <c r="C23" s="13" t="s">
        <v>481</v>
      </c>
      <c r="D23" s="20" t="s">
        <v>622</v>
      </c>
      <c r="E23" s="21" t="s">
        <v>563</v>
      </c>
      <c r="F23" s="21" t="s">
        <v>623</v>
      </c>
      <c r="G23" s="12">
        <v>200</v>
      </c>
      <c r="H23" s="12" t="s">
        <v>604</v>
      </c>
    </row>
    <row r="24" spans="1:8" ht="133.5" customHeight="1" x14ac:dyDescent="0.3">
      <c r="A24" s="10" t="s">
        <v>49</v>
      </c>
      <c r="B24" s="10" t="s">
        <v>45</v>
      </c>
      <c r="C24" s="11" t="s">
        <v>483</v>
      </c>
      <c r="D24" s="19" t="s">
        <v>624</v>
      </c>
      <c r="E24" s="18" t="s">
        <v>563</v>
      </c>
      <c r="F24" s="18" t="s">
        <v>625</v>
      </c>
      <c r="G24" s="10">
        <v>200</v>
      </c>
      <c r="H24" s="10" t="s">
        <v>604</v>
      </c>
    </row>
    <row r="25" spans="1:8" ht="81.75" customHeight="1" x14ac:dyDescent="0.3">
      <c r="A25" s="12" t="s">
        <v>54</v>
      </c>
      <c r="B25" s="12" t="s">
        <v>45</v>
      </c>
      <c r="C25" s="13" t="s">
        <v>485</v>
      </c>
      <c r="D25" s="20" t="s">
        <v>626</v>
      </c>
      <c r="E25" s="21" t="s">
        <v>627</v>
      </c>
      <c r="F25" s="21" t="s">
        <v>628</v>
      </c>
      <c r="G25" s="12">
        <v>201</v>
      </c>
      <c r="H25" s="12" t="s">
        <v>573</v>
      </c>
    </row>
    <row r="26" spans="1:8" ht="94.5" customHeight="1" x14ac:dyDescent="0.3">
      <c r="A26" s="10" t="s">
        <v>54</v>
      </c>
      <c r="B26" s="10" t="s">
        <v>45</v>
      </c>
      <c r="C26" s="11" t="s">
        <v>489</v>
      </c>
      <c r="D26" s="19" t="s">
        <v>629</v>
      </c>
      <c r="E26" s="18" t="s">
        <v>563</v>
      </c>
      <c r="F26" s="18" t="s">
        <v>630</v>
      </c>
      <c r="G26" s="10">
        <v>200</v>
      </c>
      <c r="H26" s="10" t="s">
        <v>604</v>
      </c>
    </row>
    <row r="27" spans="1:8" ht="69" customHeight="1" x14ac:dyDescent="0.3">
      <c r="A27" s="12" t="s">
        <v>54</v>
      </c>
      <c r="B27" s="12" t="s">
        <v>45</v>
      </c>
      <c r="C27" s="13" t="s">
        <v>491</v>
      </c>
      <c r="D27" s="20" t="s">
        <v>631</v>
      </c>
      <c r="E27" s="21" t="s">
        <v>632</v>
      </c>
      <c r="F27" s="21" t="s">
        <v>633</v>
      </c>
      <c r="G27" s="12">
        <v>200</v>
      </c>
      <c r="H27" s="12" t="s">
        <v>601</v>
      </c>
    </row>
    <row r="28" spans="1:8" ht="159.75" customHeight="1" x14ac:dyDescent="0.3">
      <c r="A28" s="10" t="s">
        <v>59</v>
      </c>
      <c r="B28" s="10" t="s">
        <v>45</v>
      </c>
      <c r="C28" s="11" t="s">
        <v>494</v>
      </c>
      <c r="D28" s="19" t="s">
        <v>634</v>
      </c>
      <c r="E28" s="18" t="s">
        <v>563</v>
      </c>
      <c r="F28" s="18" t="s">
        <v>635</v>
      </c>
      <c r="G28" s="10">
        <v>200</v>
      </c>
      <c r="H28" s="10" t="s">
        <v>607</v>
      </c>
    </row>
    <row r="29" spans="1:8" ht="94.5" customHeight="1" x14ac:dyDescent="0.3">
      <c r="A29" s="12" t="s">
        <v>59</v>
      </c>
      <c r="B29" s="12" t="s">
        <v>45</v>
      </c>
      <c r="C29" s="13" t="s">
        <v>498</v>
      </c>
      <c r="D29" s="20" t="s">
        <v>636</v>
      </c>
      <c r="E29" s="21" t="s">
        <v>563</v>
      </c>
      <c r="F29" s="21" t="s">
        <v>637</v>
      </c>
      <c r="G29" s="12">
        <v>200</v>
      </c>
      <c r="H29" s="12" t="s">
        <v>604</v>
      </c>
    </row>
    <row r="30" spans="1:8" ht="133.5" customHeight="1" x14ac:dyDescent="0.3">
      <c r="A30" s="10" t="s">
        <v>59</v>
      </c>
      <c r="B30" s="10" t="s">
        <v>45</v>
      </c>
      <c r="C30" s="11" t="s">
        <v>500</v>
      </c>
      <c r="D30" s="19" t="s">
        <v>638</v>
      </c>
      <c r="E30" s="18" t="s">
        <v>563</v>
      </c>
      <c r="F30" s="18" t="s">
        <v>639</v>
      </c>
      <c r="G30" s="10">
        <v>200</v>
      </c>
      <c r="H30" s="10" t="s">
        <v>604</v>
      </c>
    </row>
    <row r="31" spans="1:8" ht="81.75" customHeight="1" x14ac:dyDescent="0.3">
      <c r="A31" s="12" t="s">
        <v>59</v>
      </c>
      <c r="B31" s="12" t="s">
        <v>45</v>
      </c>
      <c r="C31" s="13" t="s">
        <v>502</v>
      </c>
      <c r="D31" s="20" t="s">
        <v>640</v>
      </c>
      <c r="E31" s="21" t="s">
        <v>563</v>
      </c>
      <c r="F31" s="21" t="s">
        <v>641</v>
      </c>
      <c r="G31" s="12">
        <v>200</v>
      </c>
      <c r="H31" s="12" t="s">
        <v>565</v>
      </c>
    </row>
    <row r="32" spans="1:8" ht="133.5" customHeight="1" x14ac:dyDescent="0.3">
      <c r="A32" s="10" t="s">
        <v>59</v>
      </c>
      <c r="B32" s="10" t="s">
        <v>45</v>
      </c>
      <c r="C32" s="11" t="s">
        <v>505</v>
      </c>
      <c r="D32" s="19" t="s">
        <v>642</v>
      </c>
      <c r="E32" s="18" t="s">
        <v>563</v>
      </c>
      <c r="F32" s="18" t="s">
        <v>643</v>
      </c>
      <c r="G32" s="10">
        <v>200</v>
      </c>
      <c r="H32" s="10" t="s">
        <v>604</v>
      </c>
    </row>
    <row r="33" spans="1:8" ht="198.75" customHeight="1" x14ac:dyDescent="0.3">
      <c r="A33" s="12" t="s">
        <v>64</v>
      </c>
      <c r="B33" s="12" t="s">
        <v>45</v>
      </c>
      <c r="C33" s="13" t="s">
        <v>508</v>
      </c>
      <c r="D33" s="20" t="s">
        <v>644</v>
      </c>
      <c r="E33" s="21" t="s">
        <v>645</v>
      </c>
      <c r="F33" s="21" t="s">
        <v>646</v>
      </c>
      <c r="G33" s="12">
        <v>202</v>
      </c>
      <c r="H33" s="12" t="s">
        <v>601</v>
      </c>
    </row>
    <row r="34" spans="1:8" ht="94.5" customHeight="1" x14ac:dyDescent="0.3">
      <c r="A34" s="10" t="s">
        <v>64</v>
      </c>
      <c r="B34" s="10" t="s">
        <v>45</v>
      </c>
      <c r="C34" s="11" t="s">
        <v>512</v>
      </c>
      <c r="D34" s="19" t="s">
        <v>647</v>
      </c>
      <c r="E34" s="18" t="s">
        <v>563</v>
      </c>
      <c r="F34" s="18" t="s">
        <v>648</v>
      </c>
      <c r="G34" s="10">
        <v>200</v>
      </c>
      <c r="H34" s="10" t="s">
        <v>604</v>
      </c>
    </row>
    <row r="35" spans="1:8" ht="69" customHeight="1" x14ac:dyDescent="0.3">
      <c r="A35" s="12" t="s">
        <v>64</v>
      </c>
      <c r="B35" s="12" t="s">
        <v>45</v>
      </c>
      <c r="C35" s="13" t="s">
        <v>514</v>
      </c>
      <c r="D35" s="20" t="s">
        <v>649</v>
      </c>
      <c r="E35" s="21" t="s">
        <v>563</v>
      </c>
      <c r="F35" s="21" t="s">
        <v>650</v>
      </c>
      <c r="G35" s="12">
        <v>200</v>
      </c>
      <c r="H35" s="12" t="s">
        <v>604</v>
      </c>
    </row>
    <row r="36" spans="1:8" ht="69" customHeight="1" x14ac:dyDescent="0.3">
      <c r="A36" s="10" t="s">
        <v>68</v>
      </c>
      <c r="B36" s="10" t="s">
        <v>45</v>
      </c>
      <c r="C36" s="11" t="s">
        <v>516</v>
      </c>
      <c r="D36" s="19" t="s">
        <v>651</v>
      </c>
      <c r="E36" s="18" t="s">
        <v>652</v>
      </c>
      <c r="F36" s="18" t="s">
        <v>653</v>
      </c>
      <c r="G36" s="10">
        <v>202</v>
      </c>
      <c r="H36" s="10" t="s">
        <v>601</v>
      </c>
    </row>
    <row r="37" spans="1:8" ht="81.75" customHeight="1" x14ac:dyDescent="0.3">
      <c r="A37" s="12" t="s">
        <v>68</v>
      </c>
      <c r="B37" s="12" t="s">
        <v>45</v>
      </c>
      <c r="C37" s="13" t="s">
        <v>520</v>
      </c>
      <c r="D37" s="20" t="s">
        <v>654</v>
      </c>
      <c r="E37" s="21" t="s">
        <v>655</v>
      </c>
      <c r="F37" s="21" t="s">
        <v>633</v>
      </c>
      <c r="G37" s="12">
        <v>200</v>
      </c>
      <c r="H37" s="12" t="s">
        <v>607</v>
      </c>
    </row>
    <row r="38" spans="1:8" ht="147" customHeight="1" x14ac:dyDescent="0.3">
      <c r="A38" s="10" t="s">
        <v>68</v>
      </c>
      <c r="B38" s="10" t="s">
        <v>45</v>
      </c>
      <c r="C38" s="11" t="s">
        <v>523</v>
      </c>
      <c r="D38" s="19" t="s">
        <v>656</v>
      </c>
      <c r="E38" s="18" t="s">
        <v>657</v>
      </c>
      <c r="F38" s="18" t="s">
        <v>658</v>
      </c>
      <c r="G38" s="10">
        <v>201</v>
      </c>
      <c r="H38" s="10" t="s">
        <v>614</v>
      </c>
    </row>
    <row r="39" spans="1:8" ht="133.5" customHeight="1" x14ac:dyDescent="0.3">
      <c r="A39" s="12" t="s">
        <v>72</v>
      </c>
      <c r="B39" s="12" t="s">
        <v>45</v>
      </c>
      <c r="C39" s="13" t="s">
        <v>526</v>
      </c>
      <c r="D39" s="20" t="s">
        <v>659</v>
      </c>
      <c r="E39" s="21" t="s">
        <v>660</v>
      </c>
      <c r="F39" s="21" t="s">
        <v>661</v>
      </c>
      <c r="G39" s="12">
        <v>201</v>
      </c>
      <c r="H39" s="12" t="s">
        <v>601</v>
      </c>
    </row>
    <row r="40" spans="1:8" ht="81.75" customHeight="1" x14ac:dyDescent="0.3">
      <c r="A40" s="10" t="s">
        <v>72</v>
      </c>
      <c r="B40" s="10" t="s">
        <v>45</v>
      </c>
      <c r="C40" s="11" t="s">
        <v>530</v>
      </c>
      <c r="D40" s="19" t="s">
        <v>662</v>
      </c>
      <c r="E40" s="18" t="s">
        <v>563</v>
      </c>
      <c r="F40" s="18" t="s">
        <v>663</v>
      </c>
      <c r="G40" s="10">
        <v>200</v>
      </c>
      <c r="H40" s="10" t="s">
        <v>604</v>
      </c>
    </row>
    <row r="41" spans="1:8" ht="16.5" customHeight="1" x14ac:dyDescent="0.3">
      <c r="A41" s="12" t="s">
        <v>72</v>
      </c>
      <c r="B41" s="12" t="s">
        <v>45</v>
      </c>
      <c r="C41" s="13" t="s">
        <v>533</v>
      </c>
      <c r="D41" s="20" t="s">
        <v>664</v>
      </c>
      <c r="E41" s="21" t="s">
        <v>563</v>
      </c>
      <c r="F41" s="21" t="s">
        <v>596</v>
      </c>
      <c r="G41" s="12">
        <v>204</v>
      </c>
      <c r="H41" s="12" t="s">
        <v>619</v>
      </c>
    </row>
    <row r="42" spans="1:8" ht="94.5" customHeight="1" x14ac:dyDescent="0.3">
      <c r="A42" s="10" t="s">
        <v>77</v>
      </c>
      <c r="B42" s="10" t="s">
        <v>45</v>
      </c>
      <c r="C42" s="11" t="s">
        <v>536</v>
      </c>
      <c r="D42" s="19" t="s">
        <v>665</v>
      </c>
      <c r="E42" s="18" t="s">
        <v>563</v>
      </c>
      <c r="F42" s="18" t="s">
        <v>666</v>
      </c>
      <c r="G42" s="10">
        <v>200</v>
      </c>
      <c r="H42" s="10" t="s">
        <v>565</v>
      </c>
    </row>
    <row r="43" spans="1:8" ht="81.75" customHeight="1" x14ac:dyDescent="0.3">
      <c r="A43" s="12" t="s">
        <v>77</v>
      </c>
      <c r="B43" s="12" t="s">
        <v>45</v>
      </c>
      <c r="C43" s="13" t="s">
        <v>540</v>
      </c>
      <c r="D43" s="20" t="s">
        <v>667</v>
      </c>
      <c r="E43" s="21" t="s">
        <v>668</v>
      </c>
      <c r="F43" s="21" t="s">
        <v>669</v>
      </c>
      <c r="G43" s="12">
        <v>201</v>
      </c>
      <c r="H43" s="12" t="s">
        <v>601</v>
      </c>
    </row>
    <row r="44" spans="1:8" ht="55.5" customHeight="1" x14ac:dyDescent="0.3">
      <c r="A44" s="10" t="s">
        <v>77</v>
      </c>
      <c r="B44" s="10" t="s">
        <v>45</v>
      </c>
      <c r="C44" s="11" t="s">
        <v>543</v>
      </c>
      <c r="D44" s="19" t="s">
        <v>670</v>
      </c>
      <c r="E44" s="18" t="s">
        <v>671</v>
      </c>
      <c r="F44" s="18" t="s">
        <v>672</v>
      </c>
      <c r="G44" s="10">
        <v>200</v>
      </c>
      <c r="H44" s="10" t="s">
        <v>614</v>
      </c>
    </row>
    <row r="45" spans="1:8" ht="94.5" customHeight="1" x14ac:dyDescent="0.3">
      <c r="A45" s="12" t="s">
        <v>77</v>
      </c>
      <c r="B45" s="12" t="s">
        <v>45</v>
      </c>
      <c r="C45" s="13" t="s">
        <v>546</v>
      </c>
      <c r="D45" s="20" t="s">
        <v>673</v>
      </c>
      <c r="E45" s="21" t="s">
        <v>674</v>
      </c>
      <c r="F45" s="21" t="s">
        <v>675</v>
      </c>
      <c r="G45" s="12">
        <v>202</v>
      </c>
      <c r="H45" s="12" t="s">
        <v>573</v>
      </c>
    </row>
    <row r="46" spans="1:8" ht="94.5" customHeight="1" x14ac:dyDescent="0.3">
      <c r="A46" s="10" t="s">
        <v>77</v>
      </c>
      <c r="B46" s="10" t="s">
        <v>45</v>
      </c>
      <c r="C46" s="11" t="s">
        <v>549</v>
      </c>
      <c r="D46" s="19" t="s">
        <v>676</v>
      </c>
      <c r="E46" s="18" t="s">
        <v>563</v>
      </c>
      <c r="F46" s="18" t="s">
        <v>677</v>
      </c>
      <c r="G46" s="10">
        <v>200</v>
      </c>
      <c r="H46" s="10" t="s">
        <v>604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Resumen</vt:lpstr>
      <vt:lpstr>Inventario APIs</vt:lpstr>
      <vt:lpstr>Matriz Componentes</vt:lpstr>
      <vt:lpstr>Estructura JSON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bayron jair atencia moreno</cp:lastModifiedBy>
  <cp:revision>0</cp:revision>
  <dcterms:created xsi:type="dcterms:W3CDTF">2026-09-29T19:51:44Z</dcterms:created>
  <dcterms:modified xsi:type="dcterms:W3CDTF">2026-10-20T23:39:21Z</dcterms:modified>
  <dc:language>en-US</dc:language>
</cp:coreProperties>
</file>